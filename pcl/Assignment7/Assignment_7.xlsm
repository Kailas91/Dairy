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drawings/drawing7.xml" ContentType="application/vnd.openxmlformats-officedocument.drawing+xml"/>
  <Override PartName="/xl/comments9.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checkCompatibility="1"/>
  <bookViews>
    <workbookView xWindow="-45" yWindow="525" windowWidth="12120" windowHeight="6330" tabRatio="511"/>
  </bookViews>
  <sheets>
    <sheet name="Summary" sheetId="32" r:id="rId1"/>
    <sheet name="Template" sheetId="21" state="hidden" r:id="rId2"/>
    <sheet name="Page_Load" sheetId="71" r:id="rId3"/>
    <sheet name="Submit_Click" sheetId="72" r:id="rId4"/>
    <sheet name="Clear_Click" sheetId="73" r:id="rId5"/>
    <sheet name="Edit_Page_Load" sheetId="74" r:id="rId6"/>
    <sheet name="Edit_Click" sheetId="75" r:id="rId7"/>
    <sheet name="Edit_Logout" sheetId="76" r:id="rId8"/>
    <sheet name="Edit_PageLoad(Cat_Admin)" sheetId="87" r:id="rId9"/>
    <sheet name="Edit_Click (Cat_Admin)" sheetId="92" r:id="rId10"/>
    <sheet name="Edit_Logout (Cat_Admin)" sheetId="94" r:id="rId11"/>
    <sheet name="Update_Page_Load" sheetId="77" r:id="rId12"/>
    <sheet name="Update_Page_Load (2)" sheetId="79" r:id="rId13"/>
    <sheet name="Update_Click" sheetId="80" r:id="rId14"/>
    <sheet name="Update_Logout_Click" sheetId="83" r:id="rId15"/>
    <sheet name="Sheet1" sheetId="86" r:id="rId16"/>
    <sheet name="Sheet2" sheetId="93" r:id="rId17"/>
  </sheets>
  <functionGroups/>
  <definedNames>
    <definedName name="______A02" hidden="1">{#N/A,#N/A,FALSE,"連絡先";#N/A,#N/A,FALSE,"ﾊｰﾄﾞｿﾌﾄ環境";#N/A,#N/A,FALSE,"IP･ﾌﾟﾛﾄｺﾙの設定";#N/A,#N/A,FALSE,"各種設定";#N/A,#N/A,FALSE,"OSPF";#N/A,#N/A,FALSE,"X25";#N/A,#N/A,FALSE,"FrameRelay";#N/A,#N/A,FALSE,"ATM"}</definedName>
    <definedName name="_____A02" hidden="1">{#N/A,#N/A,FALSE,"連絡先";#N/A,#N/A,FALSE,"ﾊｰﾄﾞｿﾌﾄ環境";#N/A,#N/A,FALSE,"IP･ﾌﾟﾛﾄｺﾙの設定";#N/A,#N/A,FALSE,"各種設定";#N/A,#N/A,FALSE,"OSPF";#N/A,#N/A,FALSE,"X25";#N/A,#N/A,FALSE,"FrameRelay";#N/A,#N/A,FALSE,"ATM"}</definedName>
    <definedName name="___A02" hidden="1">{#N/A,#N/A,FALSE,"連絡先";#N/A,#N/A,FALSE,"ﾊｰﾄﾞｿﾌﾄ環境";#N/A,#N/A,FALSE,"IP･ﾌﾟﾛﾄｺﾙの設定";#N/A,#N/A,FALSE,"各種設定";#N/A,#N/A,FALSE,"OSPF";#N/A,#N/A,FALSE,"X25";#N/A,#N/A,FALSE,"FrameRelay";#N/A,#N/A,FALSE,"ATM"}</definedName>
    <definedName name="__A02" localSheetId="8" hidden="1">{#N/A,#N/A,FALSE,"連絡先";#N/A,#N/A,FALSE,"ﾊｰﾄﾞｿﾌﾄ環境";#N/A,#N/A,FALSE,"IP･ﾌﾟﾛﾄｺﾙの設定";#N/A,#N/A,FALSE,"各種設定";#N/A,#N/A,FALSE,"OSPF";#N/A,#N/A,FALSE,"X25";#N/A,#N/A,FALSE,"FrameRelay";#N/A,#N/A,FALSE,"ATM"}</definedName>
    <definedName name="_A02" localSheetId="2" hidden="1">{#N/A,#N/A,FALSE,"連絡先";#N/A,#N/A,FALSE,"ﾊｰﾄﾞｿﾌﾄ環境";#N/A,#N/A,FALSE,"IP･ﾌﾟﾛﾄｺﾙの設定";#N/A,#N/A,FALSE,"各種設定";#N/A,#N/A,FALSE,"OSPF";#N/A,#N/A,FALSE,"X25";#N/A,#N/A,FALSE,"FrameRelay";#N/A,#N/A,FALSE,"ATM"}</definedName>
    <definedName name="_A02" localSheetId="13" hidden="1">{#N/A,#N/A,FALSE,"連絡先";#N/A,#N/A,FALSE,"ﾊｰﾄﾞｿﾌﾄ環境";#N/A,#N/A,FALSE,"IP･ﾌﾟﾛﾄｺﾙの設定";#N/A,#N/A,FALSE,"各種設定";#N/A,#N/A,FALSE,"OSPF";#N/A,#N/A,FALSE,"X25";#N/A,#N/A,FALSE,"FrameRelay";#N/A,#N/A,FALSE,"ATM"}</definedName>
    <definedName name="_A02" localSheetId="14" hidden="1">{#N/A,#N/A,FALSE,"連絡先";#N/A,#N/A,FALSE,"ﾊｰﾄﾞｿﾌﾄ環境";#N/A,#N/A,FALSE,"IP･ﾌﾟﾛﾄｺﾙの設定";#N/A,#N/A,FALSE,"各種設定";#N/A,#N/A,FALSE,"OSPF";#N/A,#N/A,FALSE,"X25";#N/A,#N/A,FALSE,"FrameRelay";#N/A,#N/A,FALSE,"ATM"}</definedName>
    <definedName name="_A02" localSheetId="11" hidden="1">{#N/A,#N/A,FALSE,"連絡先";#N/A,#N/A,FALSE,"ﾊｰﾄﾞｿﾌﾄ環境";#N/A,#N/A,FALSE,"IP･ﾌﾟﾛﾄｺﾙの設定";#N/A,#N/A,FALSE,"各種設定";#N/A,#N/A,FALSE,"OSPF";#N/A,#N/A,FALSE,"X25";#N/A,#N/A,FALSE,"FrameRelay";#N/A,#N/A,FALSE,"ATM"}</definedName>
    <definedName name="_A02" localSheetId="12" hidden="1">{#N/A,#N/A,FALSE,"連絡先";#N/A,#N/A,FALSE,"ﾊｰﾄﾞｿﾌﾄ環境";#N/A,#N/A,FALSE,"IP･ﾌﾟﾛﾄｺﾙの設定";#N/A,#N/A,FALSE,"各種設定";#N/A,#N/A,FALSE,"OSPF";#N/A,#N/A,FALSE,"X25";#N/A,#N/A,FALSE,"FrameRelay";#N/A,#N/A,FALSE,"ATM"}</definedName>
    <definedName name="_A02" hidden="1">{#N/A,#N/A,FALSE,"連絡先";#N/A,#N/A,FALSE,"ﾊｰﾄﾞｿﾌﾄ環境";#N/A,#N/A,FALSE,"IP･ﾌﾟﾛﾄｺﾙの設定";#N/A,#N/A,FALSE,"各種設定";#N/A,#N/A,FALSE,"OSPF";#N/A,#N/A,FALSE,"X25";#N/A,#N/A,FALSE,"FrameRelay";#N/A,#N/A,FALSE,"ATM"}</definedName>
    <definedName name="_xlnm._FilterDatabase" localSheetId="0" hidden="1">Summary!$B$9:$AL$9</definedName>
    <definedName name="aa" localSheetId="8" hidden="1">{#N/A,#N/A,FALSE,"連絡先";#N/A,#N/A,FALSE,"ﾊｰﾄﾞｿﾌﾄ環境";#N/A,#N/A,FALSE,"IP･ﾌﾟﾛﾄｺﾙの設定";#N/A,#N/A,FALSE,"各種設定";#N/A,#N/A,FALSE,"OSPF";#N/A,#N/A,FALSE,"X25";#N/A,#N/A,FALSE,"FrameRelay";#N/A,#N/A,FALSE,"ATM"}</definedName>
    <definedName name="aa" localSheetId="2" hidden="1">{#N/A,#N/A,FALSE,"連絡先";#N/A,#N/A,FALSE,"ﾊｰﾄﾞｿﾌﾄ環境";#N/A,#N/A,FALSE,"IP･ﾌﾟﾛﾄｺﾙの設定";#N/A,#N/A,FALSE,"各種設定";#N/A,#N/A,FALSE,"OSPF";#N/A,#N/A,FALSE,"X25";#N/A,#N/A,FALSE,"FrameRelay";#N/A,#N/A,FALSE,"ATM"}</definedName>
    <definedName name="aa" localSheetId="13" hidden="1">{#N/A,#N/A,FALSE,"連絡先";#N/A,#N/A,FALSE,"ﾊｰﾄﾞｿﾌﾄ環境";#N/A,#N/A,FALSE,"IP･ﾌﾟﾛﾄｺﾙの設定";#N/A,#N/A,FALSE,"各種設定";#N/A,#N/A,FALSE,"OSPF";#N/A,#N/A,FALSE,"X25";#N/A,#N/A,FALSE,"FrameRelay";#N/A,#N/A,FALSE,"ATM"}</definedName>
    <definedName name="aa" localSheetId="14" hidden="1">{#N/A,#N/A,FALSE,"連絡先";#N/A,#N/A,FALSE,"ﾊｰﾄﾞｿﾌﾄ環境";#N/A,#N/A,FALSE,"IP･ﾌﾟﾛﾄｺﾙの設定";#N/A,#N/A,FALSE,"各種設定";#N/A,#N/A,FALSE,"OSPF";#N/A,#N/A,FALSE,"X25";#N/A,#N/A,FALSE,"FrameRelay";#N/A,#N/A,FALSE,"ATM"}</definedName>
    <definedName name="aa" localSheetId="11" hidden="1">{#N/A,#N/A,FALSE,"連絡先";#N/A,#N/A,FALSE,"ﾊｰﾄﾞｿﾌﾄ環境";#N/A,#N/A,FALSE,"IP･ﾌﾟﾛﾄｺﾙの設定";#N/A,#N/A,FALSE,"各種設定";#N/A,#N/A,FALSE,"OSPF";#N/A,#N/A,FALSE,"X25";#N/A,#N/A,FALSE,"FrameRelay";#N/A,#N/A,FALSE,"ATM"}</definedName>
    <definedName name="aa" localSheetId="12" hidden="1">{#N/A,#N/A,FALSE,"連絡先";#N/A,#N/A,FALSE,"ﾊｰﾄﾞｿﾌﾄ環境";#N/A,#N/A,FALSE,"IP･ﾌﾟﾛﾄｺﾙの設定";#N/A,#N/A,FALSE,"各種設定";#N/A,#N/A,FALSE,"OSPF";#N/A,#N/A,FALSE,"X25";#N/A,#N/A,FALSE,"FrameRelay";#N/A,#N/A,FALSE,"ATM"}</definedName>
    <definedName name="aa" hidden="1">{#N/A,#N/A,FALSE,"連絡先";#N/A,#N/A,FALSE,"ﾊｰﾄﾞｿﾌﾄ環境";#N/A,#N/A,FALSE,"IP･ﾌﾟﾛﾄｺﾙの設定";#N/A,#N/A,FALSE,"各種設定";#N/A,#N/A,FALSE,"OSPF";#N/A,#N/A,FALSE,"X25";#N/A,#N/A,FALSE,"FrameRelay";#N/A,#N/A,FALSE,"ATM"}</definedName>
    <definedName name="BugCount" localSheetId="4">Clear_Click!$H$17:$AF$17</definedName>
    <definedName name="BugCount" localSheetId="6">Edit_Click!$H$33:$AF$33</definedName>
    <definedName name="BugCount" localSheetId="9">'Edit_Click (Cat_Admin)'!$H$24:$AF$24</definedName>
    <definedName name="BugCount" localSheetId="7">Edit_Logout!$H$16:$AF$16</definedName>
    <definedName name="BugCount" localSheetId="10">'Edit_Logout (Cat_Admin)'!$H$16:$AF$16</definedName>
    <definedName name="BugCount" localSheetId="5">Edit_Page_Load!$H$31:$AF$31</definedName>
    <definedName name="BugCount" localSheetId="8">'Edit_PageLoad(Cat_Admin)'!$H$35:$AF$35</definedName>
    <definedName name="BugCount" localSheetId="2">Page_Load!$H$34:$AF$34</definedName>
    <definedName name="BugCount" localSheetId="3">Submit_Click!$H$43:$AF$43</definedName>
    <definedName name="BugCount" localSheetId="13">Update_Click!$H$70:$AF$70</definedName>
    <definedName name="BugCount" localSheetId="14">Update_Logout_Click!$H$16:$AF$16</definedName>
    <definedName name="BugCount" localSheetId="11">Update_Page_Load!$H$73:$AF$73</definedName>
    <definedName name="BugCount" localSheetId="12">'Update_Page_Load (2)'!$H$73:$AF$73</definedName>
    <definedName name="BugCount">Template!$H$29:$AF$29</definedName>
    <definedName name="BugSheetName" localSheetId="4">Clear_Click!$F$16</definedName>
    <definedName name="BugSheetName" localSheetId="6">Edit_Click!$F$32</definedName>
    <definedName name="BugSheetName" localSheetId="9">'Edit_Click (Cat_Admin)'!$F$23</definedName>
    <definedName name="BugSheetName" localSheetId="7">Edit_Logout!$F$15</definedName>
    <definedName name="BugSheetName" localSheetId="10">'Edit_Logout (Cat_Admin)'!$F$15</definedName>
    <definedName name="BugSheetName" localSheetId="5">Edit_Page_Load!$F$30</definedName>
    <definedName name="BugSheetName" localSheetId="8">'Edit_PageLoad(Cat_Admin)'!$F$34</definedName>
    <definedName name="BugSheetName" localSheetId="2">Page_Load!$F$33</definedName>
    <definedName name="BugSheetName" localSheetId="3">Submit_Click!$F$42</definedName>
    <definedName name="BugSheetName" localSheetId="13">Update_Click!$F$69</definedName>
    <definedName name="BugSheetName" localSheetId="14">Update_Logout_Click!$F$15</definedName>
    <definedName name="BugSheetName" localSheetId="11">Update_Page_Load!$F$72</definedName>
    <definedName name="BugSheetName" localSheetId="12">'Update_Page_Load (2)'!$F$72</definedName>
    <definedName name="BugSheetName">Template!$F$28</definedName>
    <definedName name="d" localSheetId="8" hidden="1">{#N/A,#N/A,FALSE,"連絡先";#N/A,#N/A,FALSE,"ﾊｰﾄﾞｿﾌﾄ環境";#N/A,#N/A,FALSE,"IP･ﾌﾟﾛﾄｺﾙの設定";#N/A,#N/A,FALSE,"各種設定";#N/A,#N/A,FALSE,"OSPF";#N/A,#N/A,FALSE,"X25";#N/A,#N/A,FALSE,"FrameRelay";#N/A,#N/A,FALSE,"ATM"}</definedName>
    <definedName name="d" localSheetId="2" hidden="1">{#N/A,#N/A,FALSE,"連絡先";#N/A,#N/A,FALSE,"ﾊｰﾄﾞｿﾌﾄ環境";#N/A,#N/A,FALSE,"IP･ﾌﾟﾛﾄｺﾙの設定";#N/A,#N/A,FALSE,"各種設定";#N/A,#N/A,FALSE,"OSPF";#N/A,#N/A,FALSE,"X25";#N/A,#N/A,FALSE,"FrameRelay";#N/A,#N/A,FALSE,"ATM"}</definedName>
    <definedName name="d" localSheetId="13" hidden="1">{#N/A,#N/A,FALSE,"連絡先";#N/A,#N/A,FALSE,"ﾊｰﾄﾞｿﾌﾄ環境";#N/A,#N/A,FALSE,"IP･ﾌﾟﾛﾄｺﾙの設定";#N/A,#N/A,FALSE,"各種設定";#N/A,#N/A,FALSE,"OSPF";#N/A,#N/A,FALSE,"X25";#N/A,#N/A,FALSE,"FrameRelay";#N/A,#N/A,FALSE,"ATM"}</definedName>
    <definedName name="d" localSheetId="14" hidden="1">{#N/A,#N/A,FALSE,"連絡先";#N/A,#N/A,FALSE,"ﾊｰﾄﾞｿﾌﾄ環境";#N/A,#N/A,FALSE,"IP･ﾌﾟﾛﾄｺﾙの設定";#N/A,#N/A,FALSE,"各種設定";#N/A,#N/A,FALSE,"OSPF";#N/A,#N/A,FALSE,"X25";#N/A,#N/A,FALSE,"FrameRelay";#N/A,#N/A,FALSE,"ATM"}</definedName>
    <definedName name="d" localSheetId="11" hidden="1">{#N/A,#N/A,FALSE,"連絡先";#N/A,#N/A,FALSE,"ﾊｰﾄﾞｿﾌﾄ環境";#N/A,#N/A,FALSE,"IP･ﾌﾟﾛﾄｺﾙの設定";#N/A,#N/A,FALSE,"各種設定";#N/A,#N/A,FALSE,"OSPF";#N/A,#N/A,FALSE,"X25";#N/A,#N/A,FALSE,"FrameRelay";#N/A,#N/A,FALSE,"ATM"}</definedName>
    <definedName name="d" localSheetId="12" hidden="1">{#N/A,#N/A,FALSE,"連絡先";#N/A,#N/A,FALSE,"ﾊｰﾄﾞｿﾌﾄ環境";#N/A,#N/A,FALSE,"IP･ﾌﾟﾛﾄｺﾙの設定";#N/A,#N/A,FALSE,"各種設定";#N/A,#N/A,FALSE,"OSPF";#N/A,#N/A,FALSE,"X25";#N/A,#N/A,FALSE,"FrameRelay";#N/A,#N/A,FALSE,"ATM"}</definedName>
    <definedName name="d" hidden="1">{#N/A,#N/A,FALSE,"連絡先";#N/A,#N/A,FALSE,"ﾊｰﾄﾞｿﾌﾄ環境";#N/A,#N/A,FALSE,"IP･ﾌﾟﾛﾄｺﾙの設定";#N/A,#N/A,FALSE,"各種設定";#N/A,#N/A,FALSE,"OSPF";#N/A,#N/A,FALSE,"X25";#N/A,#N/A,FALSE,"FrameRelay";#N/A,#N/A,FALSE,"ATM"}</definedName>
    <definedName name="daf" localSheetId="8" hidden="1">{#N/A,#N/A,FALSE,"連絡先";#N/A,#N/A,FALSE,"ﾊｰﾄﾞｿﾌﾄ環境";#N/A,#N/A,FALSE,"IP･ﾌﾟﾛﾄｺﾙの設定";#N/A,#N/A,FALSE,"各種設定";#N/A,#N/A,FALSE,"OSPF";#N/A,#N/A,FALSE,"X25";#N/A,#N/A,FALSE,"FrameRelay";#N/A,#N/A,FALSE,"ATM"}</definedName>
    <definedName name="daf" localSheetId="2" hidden="1">{#N/A,#N/A,FALSE,"連絡先";#N/A,#N/A,FALSE,"ﾊｰﾄﾞｿﾌﾄ環境";#N/A,#N/A,FALSE,"IP･ﾌﾟﾛﾄｺﾙの設定";#N/A,#N/A,FALSE,"各種設定";#N/A,#N/A,FALSE,"OSPF";#N/A,#N/A,FALSE,"X25";#N/A,#N/A,FALSE,"FrameRelay";#N/A,#N/A,FALSE,"ATM"}</definedName>
    <definedName name="daf" localSheetId="13" hidden="1">{#N/A,#N/A,FALSE,"連絡先";#N/A,#N/A,FALSE,"ﾊｰﾄﾞｿﾌﾄ環境";#N/A,#N/A,FALSE,"IP･ﾌﾟﾛﾄｺﾙの設定";#N/A,#N/A,FALSE,"各種設定";#N/A,#N/A,FALSE,"OSPF";#N/A,#N/A,FALSE,"X25";#N/A,#N/A,FALSE,"FrameRelay";#N/A,#N/A,FALSE,"ATM"}</definedName>
    <definedName name="daf" localSheetId="14" hidden="1">{#N/A,#N/A,FALSE,"連絡先";#N/A,#N/A,FALSE,"ﾊｰﾄﾞｿﾌﾄ環境";#N/A,#N/A,FALSE,"IP･ﾌﾟﾛﾄｺﾙの設定";#N/A,#N/A,FALSE,"各種設定";#N/A,#N/A,FALSE,"OSPF";#N/A,#N/A,FALSE,"X25";#N/A,#N/A,FALSE,"FrameRelay";#N/A,#N/A,FALSE,"ATM"}</definedName>
    <definedName name="daf" localSheetId="11" hidden="1">{#N/A,#N/A,FALSE,"連絡先";#N/A,#N/A,FALSE,"ﾊｰﾄﾞｿﾌﾄ環境";#N/A,#N/A,FALSE,"IP･ﾌﾟﾛﾄｺﾙの設定";#N/A,#N/A,FALSE,"各種設定";#N/A,#N/A,FALSE,"OSPF";#N/A,#N/A,FALSE,"X25";#N/A,#N/A,FALSE,"FrameRelay";#N/A,#N/A,FALSE,"ATM"}</definedName>
    <definedName name="daf" localSheetId="12" hidden="1">{#N/A,#N/A,FALSE,"連絡先";#N/A,#N/A,FALSE,"ﾊｰﾄﾞｿﾌﾄ環境";#N/A,#N/A,FALSE,"IP･ﾌﾟﾛﾄｺﾙの設定";#N/A,#N/A,FALSE,"各種設定";#N/A,#N/A,FALSE,"OSPF";#N/A,#N/A,FALSE,"X25";#N/A,#N/A,FALSE,"FrameRelay";#N/A,#N/A,FALSE,"ATM"}</definedName>
    <definedName name="daf" hidden="1">{#N/A,#N/A,FALSE,"連絡先";#N/A,#N/A,FALSE,"ﾊｰﾄﾞｿﾌﾄ環境";#N/A,#N/A,FALSE,"IP･ﾌﾟﾛﾄｺﾙの設定";#N/A,#N/A,FALSE,"各種設定";#N/A,#N/A,FALSE,"OSPF";#N/A,#N/A,FALSE,"X25";#N/A,#N/A,FALSE,"FrameRelay";#N/A,#N/A,FALSE,"ATM"}</definedName>
    <definedName name="dd" localSheetId="8" hidden="1">{#N/A,#N/A,FALSE,"連絡先";#N/A,#N/A,FALSE,"ﾊｰﾄﾞｿﾌﾄ環境";#N/A,#N/A,FALSE,"IP･ﾌﾟﾛﾄｺﾙの設定";#N/A,#N/A,FALSE,"各種設定";#N/A,#N/A,FALSE,"OSPF";#N/A,#N/A,FALSE,"X25";#N/A,#N/A,FALSE,"FrameRelay";#N/A,#N/A,FALSE,"ATM"}</definedName>
    <definedName name="dd" localSheetId="2" hidden="1">{#N/A,#N/A,FALSE,"連絡先";#N/A,#N/A,FALSE,"ﾊｰﾄﾞｿﾌﾄ環境";#N/A,#N/A,FALSE,"IP･ﾌﾟﾛﾄｺﾙの設定";#N/A,#N/A,FALSE,"各種設定";#N/A,#N/A,FALSE,"OSPF";#N/A,#N/A,FALSE,"X25";#N/A,#N/A,FALSE,"FrameRelay";#N/A,#N/A,FALSE,"ATM"}</definedName>
    <definedName name="dd" localSheetId="13" hidden="1">{#N/A,#N/A,FALSE,"連絡先";#N/A,#N/A,FALSE,"ﾊｰﾄﾞｿﾌﾄ環境";#N/A,#N/A,FALSE,"IP･ﾌﾟﾛﾄｺﾙの設定";#N/A,#N/A,FALSE,"各種設定";#N/A,#N/A,FALSE,"OSPF";#N/A,#N/A,FALSE,"X25";#N/A,#N/A,FALSE,"FrameRelay";#N/A,#N/A,FALSE,"ATM"}</definedName>
    <definedName name="dd" localSheetId="14" hidden="1">{#N/A,#N/A,FALSE,"連絡先";#N/A,#N/A,FALSE,"ﾊｰﾄﾞｿﾌﾄ環境";#N/A,#N/A,FALSE,"IP･ﾌﾟﾛﾄｺﾙの設定";#N/A,#N/A,FALSE,"各種設定";#N/A,#N/A,FALSE,"OSPF";#N/A,#N/A,FALSE,"X25";#N/A,#N/A,FALSE,"FrameRelay";#N/A,#N/A,FALSE,"ATM"}</definedName>
    <definedName name="dd" localSheetId="11" hidden="1">{#N/A,#N/A,FALSE,"連絡先";#N/A,#N/A,FALSE,"ﾊｰﾄﾞｿﾌﾄ環境";#N/A,#N/A,FALSE,"IP･ﾌﾟﾛﾄｺﾙの設定";#N/A,#N/A,FALSE,"各種設定";#N/A,#N/A,FALSE,"OSPF";#N/A,#N/A,FALSE,"X25";#N/A,#N/A,FALSE,"FrameRelay";#N/A,#N/A,FALSE,"ATM"}</definedName>
    <definedName name="dd" localSheetId="12" hidden="1">{#N/A,#N/A,FALSE,"連絡先";#N/A,#N/A,FALSE,"ﾊｰﾄﾞｿﾌﾄ環境";#N/A,#N/A,FALSE,"IP･ﾌﾟﾛﾄｺﾙの設定";#N/A,#N/A,FALSE,"各種設定";#N/A,#N/A,FALSE,"OSPF";#N/A,#N/A,FALSE,"X25";#N/A,#N/A,FALSE,"FrameRelay";#N/A,#N/A,FALSE,"ATM"}</definedName>
    <definedName name="dd" hidden="1">{#N/A,#N/A,FALSE,"連絡先";#N/A,#N/A,FALSE,"ﾊｰﾄﾞｿﾌﾄ環境";#N/A,#N/A,FALSE,"IP･ﾌﾟﾛﾄｺﾙの設定";#N/A,#N/A,FALSE,"各種設定";#N/A,#N/A,FALSE,"OSPF";#N/A,#N/A,FALSE,"X25";#N/A,#N/A,FALSE,"FrameRelay";#N/A,#N/A,FALSE,"ATM"}</definedName>
    <definedName name="ｄｄｄ" localSheetId="8" hidden="1">{#N/A,#N/A,FALSE,"連絡先";#N/A,#N/A,FALSE,"ﾊｰﾄﾞｿﾌﾄ環境";#N/A,#N/A,FALSE,"IP･ﾌﾟﾛﾄｺﾙの設定";#N/A,#N/A,FALSE,"各種設定";#N/A,#N/A,FALSE,"OSPF";#N/A,#N/A,FALSE,"X25";#N/A,#N/A,FALSE,"FrameRelay";#N/A,#N/A,FALSE,"ATM"}</definedName>
    <definedName name="ｄｄｄ" localSheetId="2" hidden="1">{#N/A,#N/A,FALSE,"連絡先";#N/A,#N/A,FALSE,"ﾊｰﾄﾞｿﾌﾄ環境";#N/A,#N/A,FALSE,"IP･ﾌﾟﾛﾄｺﾙの設定";#N/A,#N/A,FALSE,"各種設定";#N/A,#N/A,FALSE,"OSPF";#N/A,#N/A,FALSE,"X25";#N/A,#N/A,FALSE,"FrameRelay";#N/A,#N/A,FALSE,"ATM"}</definedName>
    <definedName name="ｄｄｄ" localSheetId="13" hidden="1">{#N/A,#N/A,FALSE,"連絡先";#N/A,#N/A,FALSE,"ﾊｰﾄﾞｿﾌﾄ環境";#N/A,#N/A,FALSE,"IP･ﾌﾟﾛﾄｺﾙの設定";#N/A,#N/A,FALSE,"各種設定";#N/A,#N/A,FALSE,"OSPF";#N/A,#N/A,FALSE,"X25";#N/A,#N/A,FALSE,"FrameRelay";#N/A,#N/A,FALSE,"ATM"}</definedName>
    <definedName name="ｄｄｄ" localSheetId="14" hidden="1">{#N/A,#N/A,FALSE,"連絡先";#N/A,#N/A,FALSE,"ﾊｰﾄﾞｿﾌﾄ環境";#N/A,#N/A,FALSE,"IP･ﾌﾟﾛﾄｺﾙの設定";#N/A,#N/A,FALSE,"各種設定";#N/A,#N/A,FALSE,"OSPF";#N/A,#N/A,FALSE,"X25";#N/A,#N/A,FALSE,"FrameRelay";#N/A,#N/A,FALSE,"ATM"}</definedName>
    <definedName name="ｄｄｄ" localSheetId="11" hidden="1">{#N/A,#N/A,FALSE,"連絡先";#N/A,#N/A,FALSE,"ﾊｰﾄﾞｿﾌﾄ環境";#N/A,#N/A,FALSE,"IP･ﾌﾟﾛﾄｺﾙの設定";#N/A,#N/A,FALSE,"各種設定";#N/A,#N/A,FALSE,"OSPF";#N/A,#N/A,FALSE,"X25";#N/A,#N/A,FALSE,"FrameRelay";#N/A,#N/A,FALSE,"ATM"}</definedName>
    <definedName name="ｄｄｄ" localSheetId="12" hidden="1">{#N/A,#N/A,FALSE,"連絡先";#N/A,#N/A,FALSE,"ﾊｰﾄﾞｿﾌﾄ環境";#N/A,#N/A,FALSE,"IP･ﾌﾟﾛﾄｺﾙの設定";#N/A,#N/A,FALSE,"各種設定";#N/A,#N/A,FALSE,"OSPF";#N/A,#N/A,FALSE,"X25";#N/A,#N/A,FALSE,"FrameRelay";#N/A,#N/A,FALSE,"ATM"}</definedName>
    <definedName name="ｄｄｄ" hidden="1">{#N/A,#N/A,FALSE,"連絡先";#N/A,#N/A,FALSE,"ﾊｰﾄﾞｿﾌﾄ環境";#N/A,#N/A,FALSE,"IP･ﾌﾟﾛﾄｺﾙの設定";#N/A,#N/A,FALSE,"各種設定";#N/A,#N/A,FALSE,"OSPF";#N/A,#N/A,FALSE,"X25";#N/A,#N/A,FALSE,"FrameRelay";#N/A,#N/A,FALSE,"ATM"}</definedName>
    <definedName name="load" localSheetId="13" hidden="1">{#N/A,#N/A,FALSE,"連絡先";#N/A,#N/A,FALSE,"ﾊｰﾄﾞｿﾌﾄ環境";#N/A,#N/A,FALSE,"IP･ﾌﾟﾛﾄｺﾙの設定";#N/A,#N/A,FALSE,"各種設定";#N/A,#N/A,FALSE,"OSPF";#N/A,#N/A,FALSE,"X25";#N/A,#N/A,FALSE,"FrameRelay";#N/A,#N/A,FALSE,"ATM"}</definedName>
    <definedName name="load" localSheetId="14" hidden="1">{#N/A,#N/A,FALSE,"連絡先";#N/A,#N/A,FALSE,"ﾊｰﾄﾞｿﾌﾄ環境";#N/A,#N/A,FALSE,"IP･ﾌﾟﾛﾄｺﾙの設定";#N/A,#N/A,FALSE,"各種設定";#N/A,#N/A,FALSE,"OSPF";#N/A,#N/A,FALSE,"X25";#N/A,#N/A,FALSE,"FrameRelay";#N/A,#N/A,FALSE,"ATM"}</definedName>
    <definedName name="load" hidden="1">{#N/A,#N/A,FALSE,"連絡先";#N/A,#N/A,FALSE,"ﾊｰﾄﾞｿﾌﾄ環境";#N/A,#N/A,FALSE,"IP･ﾌﾟﾛﾄｺﾙの設定";#N/A,#N/A,FALSE,"各種設定";#N/A,#N/A,FALSE,"OSPF";#N/A,#N/A,FALSE,"X25";#N/A,#N/A,FALSE,"FrameRelay";#N/A,#N/A,FALSE,"ATM"}</definedName>
    <definedName name="NewPCL">Summary!$3:$3</definedName>
    <definedName name="NewPCL_Row">Summary!$22:$22</definedName>
    <definedName name="_xlnm.Print_Area" localSheetId="4">Clear_Click!$A$1:$AF$18</definedName>
    <definedName name="_xlnm.Print_Area" localSheetId="6">Edit_Click!$A$1:$AF$34</definedName>
    <definedName name="_xlnm.Print_Area" localSheetId="9">'Edit_Click (Cat_Admin)'!$A$1:$AF$25</definedName>
    <definedName name="_xlnm.Print_Area" localSheetId="7">Edit_Logout!$A$1:$AF$17</definedName>
    <definedName name="_xlnm.Print_Area" localSheetId="10">'Edit_Logout (Cat_Admin)'!$A$1:$AF$17</definedName>
    <definedName name="_xlnm.Print_Area" localSheetId="5">Edit_Page_Load!$A$1:$AF$32</definedName>
    <definedName name="_xlnm.Print_Area" localSheetId="8">'Edit_PageLoad(Cat_Admin)'!$A$1:$AF$36</definedName>
    <definedName name="_xlnm.Print_Area" localSheetId="2">Page_Load!$A$1:$AF$35</definedName>
    <definedName name="_xlnm.Print_Area" localSheetId="3">Submit_Click!$A$1:$AF$44</definedName>
    <definedName name="_xlnm.Print_Area" localSheetId="0">Summary!$A$5:$AM$42</definedName>
    <definedName name="_xlnm.Print_Area" localSheetId="1">Template!$A$1:$AF$30</definedName>
    <definedName name="_xlnm.Print_Area" localSheetId="13">Update_Click!$A$1:$AF$71</definedName>
    <definedName name="_xlnm.Print_Area" localSheetId="14">Update_Logout_Click!$A$1:$AF$17</definedName>
    <definedName name="_xlnm.Print_Area" localSheetId="11">Update_Page_Load!$A$1:$AF$74</definedName>
    <definedName name="_xlnm.Print_Area" localSheetId="12">'Update_Page_Load (2)'!$A$1:$AF$74</definedName>
    <definedName name="_xlnm.Print_Titles" localSheetId="4">Clear_Click!$1:$3</definedName>
    <definedName name="_xlnm.Print_Titles" localSheetId="6">Edit_Click!$1:$3</definedName>
    <definedName name="_xlnm.Print_Titles" localSheetId="9">'Edit_Click (Cat_Admin)'!$1:$3</definedName>
    <definedName name="_xlnm.Print_Titles" localSheetId="7">Edit_Logout!$1:$3</definedName>
    <definedName name="_xlnm.Print_Titles" localSheetId="10">'Edit_Logout (Cat_Admin)'!$1:$3</definedName>
    <definedName name="_xlnm.Print_Titles" localSheetId="5">Edit_Page_Load!$1:$3</definedName>
    <definedName name="_xlnm.Print_Titles" localSheetId="8">'Edit_PageLoad(Cat_Admin)'!$A$1:$IV$3</definedName>
    <definedName name="_xlnm.Print_Titles" localSheetId="2">Page_Load!$1:$3</definedName>
    <definedName name="_xlnm.Print_Titles" localSheetId="3">Submit_Click!$1:$3</definedName>
    <definedName name="_xlnm.Print_Titles" localSheetId="0">Summary!$5:$9</definedName>
    <definedName name="_xlnm.Print_Titles" localSheetId="1">Template!$1:$3</definedName>
    <definedName name="_xlnm.Print_Titles" localSheetId="13">Update_Click!$1:$3</definedName>
    <definedName name="_xlnm.Print_Titles" localSheetId="14">Update_Logout_Click!$1:$3</definedName>
    <definedName name="_xlnm.Print_Titles" localSheetId="11">Update_Page_Load!$1:$3</definedName>
    <definedName name="_xlnm.Print_Titles" localSheetId="12">'Update_Page_Load (2)'!$1:$3</definedName>
    <definedName name="ｓｓ" localSheetId="8" hidden="1">{#N/A,#N/A,FALSE,"連絡先";#N/A,#N/A,FALSE,"ﾊｰﾄﾞｿﾌﾄ環境";#N/A,#N/A,FALSE,"IP･ﾌﾟﾛﾄｺﾙの設定";#N/A,#N/A,FALSE,"各種設定";#N/A,#N/A,FALSE,"OSPF";#N/A,#N/A,FALSE,"X25";#N/A,#N/A,FALSE,"FrameRelay";#N/A,#N/A,FALSE,"ATM"}</definedName>
    <definedName name="ｓｓ" localSheetId="2" hidden="1">{#N/A,#N/A,FALSE,"連絡先";#N/A,#N/A,FALSE,"ﾊｰﾄﾞｿﾌﾄ環境";#N/A,#N/A,FALSE,"IP･ﾌﾟﾛﾄｺﾙの設定";#N/A,#N/A,FALSE,"各種設定";#N/A,#N/A,FALSE,"OSPF";#N/A,#N/A,FALSE,"X25";#N/A,#N/A,FALSE,"FrameRelay";#N/A,#N/A,FALSE,"ATM"}</definedName>
    <definedName name="ｓｓ" localSheetId="13" hidden="1">{#N/A,#N/A,FALSE,"連絡先";#N/A,#N/A,FALSE,"ﾊｰﾄﾞｿﾌﾄ環境";#N/A,#N/A,FALSE,"IP･ﾌﾟﾛﾄｺﾙの設定";#N/A,#N/A,FALSE,"各種設定";#N/A,#N/A,FALSE,"OSPF";#N/A,#N/A,FALSE,"X25";#N/A,#N/A,FALSE,"FrameRelay";#N/A,#N/A,FALSE,"ATM"}</definedName>
    <definedName name="ｓｓ" localSheetId="14" hidden="1">{#N/A,#N/A,FALSE,"連絡先";#N/A,#N/A,FALSE,"ﾊｰﾄﾞｿﾌﾄ環境";#N/A,#N/A,FALSE,"IP･ﾌﾟﾛﾄｺﾙの設定";#N/A,#N/A,FALSE,"各種設定";#N/A,#N/A,FALSE,"OSPF";#N/A,#N/A,FALSE,"X25";#N/A,#N/A,FALSE,"FrameRelay";#N/A,#N/A,FALSE,"ATM"}</definedName>
    <definedName name="ｓｓ" localSheetId="11" hidden="1">{#N/A,#N/A,FALSE,"連絡先";#N/A,#N/A,FALSE,"ﾊｰﾄﾞｿﾌﾄ環境";#N/A,#N/A,FALSE,"IP･ﾌﾟﾛﾄｺﾙの設定";#N/A,#N/A,FALSE,"各種設定";#N/A,#N/A,FALSE,"OSPF";#N/A,#N/A,FALSE,"X25";#N/A,#N/A,FALSE,"FrameRelay";#N/A,#N/A,FALSE,"ATM"}</definedName>
    <definedName name="ｓｓ" localSheetId="12" hidden="1">{#N/A,#N/A,FALSE,"連絡先";#N/A,#N/A,FALSE,"ﾊｰﾄﾞｿﾌﾄ環境";#N/A,#N/A,FALSE,"IP･ﾌﾟﾛﾄｺﾙの設定";#N/A,#N/A,FALSE,"各種設定";#N/A,#N/A,FALSE,"OSPF";#N/A,#N/A,FALSE,"X25";#N/A,#N/A,FALSE,"FrameRelay";#N/A,#N/A,FALSE,"ATM"}</definedName>
    <definedName name="ｓｓ" hidden="1">{#N/A,#N/A,FALSE,"連絡先";#N/A,#N/A,FALSE,"ﾊｰﾄﾞｿﾌﾄ環境";#N/A,#N/A,FALSE,"IP･ﾌﾟﾛﾄｺﾙの設定";#N/A,#N/A,FALSE,"各種設定";#N/A,#N/A,FALSE,"OSPF";#N/A,#N/A,FALSE,"X25";#N/A,#N/A,FALSE,"FrameRelay";#N/A,#N/A,FALSE,"ATM"}</definedName>
    <definedName name="SummaryTB">Summary!$AI$23</definedName>
    <definedName name="SummaryTotal">Summary!$B$23:$AL$24</definedName>
    <definedName name="SummaryTRNA">Summary!$X$23</definedName>
    <definedName name="SummaryTRNG">Summary!$R$23</definedName>
    <definedName name="SummaryTROK">Summary!$O$23</definedName>
    <definedName name="SummaryTRPT">Summary!$U$23</definedName>
    <definedName name="SummaryTTC">Summary!$K$23</definedName>
    <definedName name="SummaryTTD">Summary!$AA$23</definedName>
    <definedName name="SummaryTTND">Summary!$AE$23</definedName>
    <definedName name="TestResult" localSheetId="4">Clear_Click!$G$15</definedName>
    <definedName name="TestResult" localSheetId="6">Edit_Click!$G$31</definedName>
    <definedName name="TestResult" localSheetId="9">'Edit_Click (Cat_Admin)'!$G$22</definedName>
    <definedName name="TestResult" localSheetId="7">Edit_Logout!$G$14</definedName>
    <definedName name="TestResult" localSheetId="10">'Edit_Logout (Cat_Admin)'!$G$14</definedName>
    <definedName name="TestResult" localSheetId="5">Edit_Page_Load!$G$29</definedName>
    <definedName name="TestResult" localSheetId="8">'Edit_PageLoad(Cat_Admin)'!$G$33</definedName>
    <definedName name="TestResult" localSheetId="2">Page_Load!$G$32</definedName>
    <definedName name="TestResult" localSheetId="3">Submit_Click!$G$41</definedName>
    <definedName name="TestResult" localSheetId="13">Update_Click!$G$68</definedName>
    <definedName name="TestResult" localSheetId="14">Update_Logout_Click!$G$14</definedName>
    <definedName name="TestResult" localSheetId="11">Update_Page_Load!$G$71</definedName>
    <definedName name="TestResult" localSheetId="12">'Update_Page_Load (2)'!$G$71</definedName>
    <definedName name="TestResult">Template!$G$27</definedName>
    <definedName name="wrn.confshet." localSheetId="8" hidden="1">{#N/A,#N/A,FALSE,"連絡先";#N/A,#N/A,FALSE,"ﾊｰﾄﾞｿﾌﾄ環境";#N/A,#N/A,FALSE,"IP･ﾌﾟﾛﾄｺﾙの設定";#N/A,#N/A,FALSE,"各種設定";#N/A,#N/A,FALSE,"OSPF";#N/A,#N/A,FALSE,"X25";#N/A,#N/A,FALSE,"FrameRelay";#N/A,#N/A,FALSE,"ATM"}</definedName>
    <definedName name="wrn.confshet." localSheetId="2" hidden="1">{#N/A,#N/A,FALSE,"連絡先";#N/A,#N/A,FALSE,"ﾊｰﾄﾞｿﾌﾄ環境";#N/A,#N/A,FALSE,"IP･ﾌﾟﾛﾄｺﾙの設定";#N/A,#N/A,FALSE,"各種設定";#N/A,#N/A,FALSE,"OSPF";#N/A,#N/A,FALSE,"X25";#N/A,#N/A,FALSE,"FrameRelay";#N/A,#N/A,FALSE,"ATM"}</definedName>
    <definedName name="wrn.confshet." localSheetId="13" hidden="1">{#N/A,#N/A,FALSE,"連絡先";#N/A,#N/A,FALSE,"ﾊｰﾄﾞｿﾌﾄ環境";#N/A,#N/A,FALSE,"IP･ﾌﾟﾛﾄｺﾙの設定";#N/A,#N/A,FALSE,"各種設定";#N/A,#N/A,FALSE,"OSPF";#N/A,#N/A,FALSE,"X25";#N/A,#N/A,FALSE,"FrameRelay";#N/A,#N/A,FALSE,"ATM"}</definedName>
    <definedName name="wrn.confshet." localSheetId="14" hidden="1">{#N/A,#N/A,FALSE,"連絡先";#N/A,#N/A,FALSE,"ﾊｰﾄﾞｿﾌﾄ環境";#N/A,#N/A,FALSE,"IP･ﾌﾟﾛﾄｺﾙの設定";#N/A,#N/A,FALSE,"各種設定";#N/A,#N/A,FALSE,"OSPF";#N/A,#N/A,FALSE,"X25";#N/A,#N/A,FALSE,"FrameRelay";#N/A,#N/A,FALSE,"ATM"}</definedName>
    <definedName name="wrn.confshet." localSheetId="11" hidden="1">{#N/A,#N/A,FALSE,"連絡先";#N/A,#N/A,FALSE,"ﾊｰﾄﾞｿﾌﾄ環境";#N/A,#N/A,FALSE,"IP･ﾌﾟﾛﾄｺﾙの設定";#N/A,#N/A,FALSE,"各種設定";#N/A,#N/A,FALSE,"OSPF";#N/A,#N/A,FALSE,"X25";#N/A,#N/A,FALSE,"FrameRelay";#N/A,#N/A,FALSE,"ATM"}</definedName>
    <definedName name="wrn.confshet." localSheetId="12" hidden="1">{#N/A,#N/A,FALSE,"連絡先";#N/A,#N/A,FALSE,"ﾊｰﾄﾞｿﾌﾄ環境";#N/A,#N/A,FALSE,"IP･ﾌﾟﾛﾄｺﾙの設定";#N/A,#N/A,FALSE,"各種設定";#N/A,#N/A,FALSE,"OSPF";#N/A,#N/A,FALSE,"X25";#N/A,#N/A,FALSE,"FrameRelay";#N/A,#N/A,FALSE,"ATM"}</definedName>
    <definedName name="wrn.confshet." hidden="1">{#N/A,#N/A,FALSE,"連絡先";#N/A,#N/A,FALSE,"ﾊｰﾄﾞｿﾌﾄ環境";#N/A,#N/A,FALSE,"IP･ﾌﾟﾛﾄｺﾙの設定";#N/A,#N/A,FALSE,"各種設定";#N/A,#N/A,FALSE,"OSPF";#N/A,#N/A,FALSE,"X25";#N/A,#N/A,FALSE,"FrameRelay";#N/A,#N/A,FALSE,"ATM"}</definedName>
    <definedName name="yu" localSheetId="8" hidden="1">{#N/A,#N/A,FALSE,"連絡先";#N/A,#N/A,FALSE,"ﾊｰﾄﾞｿﾌﾄ環境";#N/A,#N/A,FALSE,"IP･ﾌﾟﾛﾄｺﾙの設定";#N/A,#N/A,FALSE,"各種設定";#N/A,#N/A,FALSE,"OSPF";#N/A,#N/A,FALSE,"X25";#N/A,#N/A,FALSE,"FrameRelay";#N/A,#N/A,FALSE,"ATM"}</definedName>
    <definedName name="yu" localSheetId="2" hidden="1">{#N/A,#N/A,FALSE,"連絡先";#N/A,#N/A,FALSE,"ﾊｰﾄﾞｿﾌﾄ環境";#N/A,#N/A,FALSE,"IP･ﾌﾟﾛﾄｺﾙの設定";#N/A,#N/A,FALSE,"各種設定";#N/A,#N/A,FALSE,"OSPF";#N/A,#N/A,FALSE,"X25";#N/A,#N/A,FALSE,"FrameRelay";#N/A,#N/A,FALSE,"ATM"}</definedName>
    <definedName name="yu" localSheetId="13" hidden="1">{#N/A,#N/A,FALSE,"連絡先";#N/A,#N/A,FALSE,"ﾊｰﾄﾞｿﾌﾄ環境";#N/A,#N/A,FALSE,"IP･ﾌﾟﾛﾄｺﾙの設定";#N/A,#N/A,FALSE,"各種設定";#N/A,#N/A,FALSE,"OSPF";#N/A,#N/A,FALSE,"X25";#N/A,#N/A,FALSE,"FrameRelay";#N/A,#N/A,FALSE,"ATM"}</definedName>
    <definedName name="yu" localSheetId="14" hidden="1">{#N/A,#N/A,FALSE,"連絡先";#N/A,#N/A,FALSE,"ﾊｰﾄﾞｿﾌﾄ環境";#N/A,#N/A,FALSE,"IP･ﾌﾟﾛﾄｺﾙの設定";#N/A,#N/A,FALSE,"各種設定";#N/A,#N/A,FALSE,"OSPF";#N/A,#N/A,FALSE,"X25";#N/A,#N/A,FALSE,"FrameRelay";#N/A,#N/A,FALSE,"ATM"}</definedName>
    <definedName name="yu" localSheetId="11" hidden="1">{#N/A,#N/A,FALSE,"連絡先";#N/A,#N/A,FALSE,"ﾊｰﾄﾞｿﾌﾄ環境";#N/A,#N/A,FALSE,"IP･ﾌﾟﾛﾄｺﾙの設定";#N/A,#N/A,FALSE,"各種設定";#N/A,#N/A,FALSE,"OSPF";#N/A,#N/A,FALSE,"X25";#N/A,#N/A,FALSE,"FrameRelay";#N/A,#N/A,FALSE,"ATM"}</definedName>
    <definedName name="yu" localSheetId="12" hidden="1">{#N/A,#N/A,FALSE,"連絡先";#N/A,#N/A,FALSE,"ﾊｰﾄﾞｿﾌﾄ環境";#N/A,#N/A,FALSE,"IP･ﾌﾟﾛﾄｺﾙの設定";#N/A,#N/A,FALSE,"各種設定";#N/A,#N/A,FALSE,"OSPF";#N/A,#N/A,FALSE,"X25";#N/A,#N/A,FALSE,"FrameRelay";#N/A,#N/A,FALSE,"ATM"}</definedName>
    <definedName name="yu" hidden="1">{#N/A,#N/A,FALSE,"連絡先";#N/A,#N/A,FALSE,"ﾊｰﾄﾞｿﾌﾄ環境";#N/A,#N/A,FALSE,"IP･ﾌﾟﾛﾄｺﾙの設定";#N/A,#N/A,FALSE,"各種設定";#N/A,#N/A,FALSE,"OSPF";#N/A,#N/A,FALSE,"X25";#N/A,#N/A,FALSE,"FrameRelay";#N/A,#N/A,FALSE,"ATM"}</definedName>
    <definedName name="ハード" localSheetId="8" hidden="1">{#N/A,#N/A,FALSE,"連絡先";#N/A,#N/A,FALSE,"ﾊｰﾄﾞｿﾌﾄ環境";#N/A,#N/A,FALSE,"IP･ﾌﾟﾛﾄｺﾙの設定";#N/A,#N/A,FALSE,"各種設定";#N/A,#N/A,FALSE,"OSPF";#N/A,#N/A,FALSE,"X25";#N/A,#N/A,FALSE,"FrameRelay";#N/A,#N/A,FALSE,"ATM"}</definedName>
    <definedName name="ハード" localSheetId="2" hidden="1">{#N/A,#N/A,FALSE,"連絡先";#N/A,#N/A,FALSE,"ﾊｰﾄﾞｿﾌﾄ環境";#N/A,#N/A,FALSE,"IP･ﾌﾟﾛﾄｺﾙの設定";#N/A,#N/A,FALSE,"各種設定";#N/A,#N/A,FALSE,"OSPF";#N/A,#N/A,FALSE,"X25";#N/A,#N/A,FALSE,"FrameRelay";#N/A,#N/A,FALSE,"ATM"}</definedName>
    <definedName name="ハード" localSheetId="13" hidden="1">{#N/A,#N/A,FALSE,"連絡先";#N/A,#N/A,FALSE,"ﾊｰﾄﾞｿﾌﾄ環境";#N/A,#N/A,FALSE,"IP･ﾌﾟﾛﾄｺﾙの設定";#N/A,#N/A,FALSE,"各種設定";#N/A,#N/A,FALSE,"OSPF";#N/A,#N/A,FALSE,"X25";#N/A,#N/A,FALSE,"FrameRelay";#N/A,#N/A,FALSE,"ATM"}</definedName>
    <definedName name="ハード" localSheetId="14" hidden="1">{#N/A,#N/A,FALSE,"連絡先";#N/A,#N/A,FALSE,"ﾊｰﾄﾞｿﾌﾄ環境";#N/A,#N/A,FALSE,"IP･ﾌﾟﾛﾄｺﾙの設定";#N/A,#N/A,FALSE,"各種設定";#N/A,#N/A,FALSE,"OSPF";#N/A,#N/A,FALSE,"X25";#N/A,#N/A,FALSE,"FrameRelay";#N/A,#N/A,FALSE,"ATM"}</definedName>
    <definedName name="ハード" localSheetId="11" hidden="1">{#N/A,#N/A,FALSE,"連絡先";#N/A,#N/A,FALSE,"ﾊｰﾄﾞｿﾌﾄ環境";#N/A,#N/A,FALSE,"IP･ﾌﾟﾛﾄｺﾙの設定";#N/A,#N/A,FALSE,"各種設定";#N/A,#N/A,FALSE,"OSPF";#N/A,#N/A,FALSE,"X25";#N/A,#N/A,FALSE,"FrameRelay";#N/A,#N/A,FALSE,"ATM"}</definedName>
    <definedName name="ハード" localSheetId="12" hidden="1">{#N/A,#N/A,FALSE,"連絡先";#N/A,#N/A,FALSE,"ﾊｰﾄﾞｿﾌﾄ環境";#N/A,#N/A,FALSE,"IP･ﾌﾟﾛﾄｺﾙの設定";#N/A,#N/A,FALSE,"各種設定";#N/A,#N/A,FALSE,"OSPF";#N/A,#N/A,FALSE,"X25";#N/A,#N/A,FALSE,"FrameRelay";#N/A,#N/A,FALSE,"ATM"}</definedName>
    <definedName name="ハード" hidden="1">{#N/A,#N/A,FALSE,"連絡先";#N/A,#N/A,FALSE,"ﾊｰﾄﾞｿﾌﾄ環境";#N/A,#N/A,FALSE,"IP･ﾌﾟﾛﾄｺﾙの設定";#N/A,#N/A,FALSE,"各種設定";#N/A,#N/A,FALSE,"OSPF";#N/A,#N/A,FALSE,"X25";#N/A,#N/A,FALSE,"FrameRelay";#N/A,#N/A,FALSE,"ATM"}</definedName>
  </definedNames>
  <calcPr calcId="125725"/>
</workbook>
</file>

<file path=xl/calcChain.xml><?xml version="1.0" encoding="utf-8"?>
<calcChain xmlns="http://schemas.openxmlformats.org/spreadsheetml/2006/main">
  <c r="H3" i="79"/>
  <c r="AF16" i="94" l="1"/>
  <c r="AE16"/>
  <c r="AD16"/>
  <c r="AC16"/>
  <c r="AB16"/>
  <c r="AA16"/>
  <c r="Z16"/>
  <c r="Y16"/>
  <c r="X16"/>
  <c r="W16"/>
  <c r="V16"/>
  <c r="U16"/>
  <c r="T16"/>
  <c r="S16"/>
  <c r="AF3"/>
  <c r="AE3"/>
  <c r="AD3"/>
  <c r="AC3"/>
  <c r="AB3"/>
  <c r="AA3"/>
  <c r="Z3"/>
  <c r="Y3"/>
  <c r="X3"/>
  <c r="W3"/>
  <c r="V3"/>
  <c r="U3"/>
  <c r="T3"/>
  <c r="S3"/>
  <c r="R3"/>
  <c r="Q3"/>
  <c r="P3"/>
  <c r="O3"/>
  <c r="N3"/>
  <c r="M3"/>
  <c r="L3"/>
  <c r="K3"/>
  <c r="I3"/>
  <c r="H3"/>
  <c r="AF24" i="92"/>
  <c r="AE24"/>
  <c r="AD24"/>
  <c r="AC24"/>
  <c r="AB24"/>
  <c r="AA24"/>
  <c r="Z24"/>
  <c r="Y24"/>
  <c r="X24"/>
  <c r="W24"/>
  <c r="V24"/>
  <c r="U24"/>
  <c r="T24"/>
  <c r="S24"/>
  <c r="F15" i="94"/>
  <c r="F23" i="92"/>
  <c r="AI21" i="32"/>
  <c r="O21"/>
  <c r="U21"/>
  <c r="X21"/>
  <c r="R21"/>
  <c r="AA21" l="1"/>
  <c r="AF3" i="92"/>
  <c r="AE3"/>
  <c r="AD3"/>
  <c r="AC3"/>
  <c r="AB3"/>
  <c r="AA3"/>
  <c r="Z3"/>
  <c r="Y3"/>
  <c r="X3"/>
  <c r="W3"/>
  <c r="V3"/>
  <c r="U3"/>
  <c r="T3"/>
  <c r="S3"/>
  <c r="R3"/>
  <c r="Q3"/>
  <c r="P3"/>
  <c r="O3"/>
  <c r="N3"/>
  <c r="M3"/>
  <c r="L3"/>
  <c r="K3"/>
  <c r="I3"/>
  <c r="H3"/>
  <c r="K21" i="32"/>
  <c r="AE21" l="1"/>
  <c r="X20"/>
  <c r="K20"/>
  <c r="AI20"/>
  <c r="O20"/>
  <c r="R20"/>
  <c r="U20"/>
  <c r="AA20" l="1"/>
  <c r="AE20" s="1"/>
  <c r="I3" i="87"/>
  <c r="J3"/>
  <c r="K3" s="1"/>
  <c r="L3" s="1"/>
  <c r="M3" s="1"/>
  <c r="N3" s="1"/>
  <c r="O3"/>
  <c r="P3"/>
  <c r="Q3"/>
  <c r="R3"/>
  <c r="S3"/>
  <c r="T3"/>
  <c r="U3"/>
  <c r="V3"/>
  <c r="W3"/>
  <c r="X3"/>
  <c r="Y3"/>
  <c r="Z3"/>
  <c r="AA3"/>
  <c r="AB3"/>
  <c r="AC3"/>
  <c r="AD3"/>
  <c r="AE3"/>
  <c r="AF3"/>
  <c r="S35"/>
  <c r="T35"/>
  <c r="U35"/>
  <c r="V35"/>
  <c r="W35"/>
  <c r="X35"/>
  <c r="Y35"/>
  <c r="Z35"/>
  <c r="AA35"/>
  <c r="AB35"/>
  <c r="AC35"/>
  <c r="AD35"/>
  <c r="AE35"/>
  <c r="AF35"/>
  <c r="AF16" i="83" l="1"/>
  <c r="AE16"/>
  <c r="AD16"/>
  <c r="AC16"/>
  <c r="AB16"/>
  <c r="AA16"/>
  <c r="Z16"/>
  <c r="Y16"/>
  <c r="X16"/>
  <c r="W16"/>
  <c r="V16"/>
  <c r="U16"/>
  <c r="T16"/>
  <c r="S16"/>
  <c r="AF3"/>
  <c r="AE3"/>
  <c r="AD3"/>
  <c r="AC3"/>
  <c r="AB3"/>
  <c r="AA3"/>
  <c r="Z3"/>
  <c r="Y3"/>
  <c r="X3"/>
  <c r="W3"/>
  <c r="V3"/>
  <c r="U3"/>
  <c r="T3"/>
  <c r="S3"/>
  <c r="R3"/>
  <c r="Q3"/>
  <c r="P3"/>
  <c r="O3"/>
  <c r="N3"/>
  <c r="M3"/>
  <c r="L3"/>
  <c r="K3"/>
  <c r="J3"/>
  <c r="I3"/>
  <c r="H3"/>
  <c r="F15"/>
  <c r="R18" i="32"/>
  <c r="K18"/>
  <c r="X18"/>
  <c r="R19"/>
  <c r="O18"/>
  <c r="AI18"/>
  <c r="K19"/>
  <c r="X19"/>
  <c r="O19"/>
  <c r="AI19"/>
  <c r="U19"/>
  <c r="U18"/>
  <c r="AA19" l="1"/>
  <c r="AE19" s="1"/>
  <c r="AA18"/>
  <c r="AE18" s="1"/>
  <c r="U17"/>
  <c r="O17"/>
  <c r="AI17"/>
  <c r="R17"/>
  <c r="X17"/>
  <c r="AA17" l="1"/>
  <c r="AF70" i="80"/>
  <c r="AE70"/>
  <c r="AD70"/>
  <c r="AC70"/>
  <c r="AB70"/>
  <c r="AA70"/>
  <c r="Z70"/>
  <c r="Y70"/>
  <c r="X70"/>
  <c r="W70"/>
  <c r="V70"/>
  <c r="U70"/>
  <c r="T70"/>
  <c r="S70"/>
  <c r="AF3"/>
  <c r="AE3"/>
  <c r="AD3"/>
  <c r="AC3"/>
  <c r="AB3"/>
  <c r="AA3"/>
  <c r="Z3"/>
  <c r="Y3"/>
  <c r="X3"/>
  <c r="W3"/>
  <c r="V3"/>
  <c r="U3"/>
  <c r="T3"/>
  <c r="S3"/>
  <c r="R3"/>
  <c r="Q3"/>
  <c r="P3"/>
  <c r="O3"/>
  <c r="N3"/>
  <c r="J3"/>
  <c r="K3" s="1"/>
  <c r="L3" s="1"/>
  <c r="M3" s="1"/>
  <c r="I3"/>
  <c r="H3"/>
  <c r="AF73" i="79"/>
  <c r="AE73"/>
  <c r="AD73"/>
  <c r="AC73"/>
  <c r="AB73"/>
  <c r="AA73"/>
  <c r="Z73"/>
  <c r="Y73"/>
  <c r="X73"/>
  <c r="W73"/>
  <c r="V73"/>
  <c r="U73"/>
  <c r="T73"/>
  <c r="S73"/>
  <c r="I3"/>
  <c r="F69" i="80"/>
  <c r="F72" i="79"/>
  <c r="X16" i="32"/>
  <c r="O16"/>
  <c r="AI16"/>
  <c r="U16"/>
  <c r="R16"/>
  <c r="J3" i="79" l="1"/>
  <c r="AA16" i="32"/>
  <c r="H3" i="77"/>
  <c r="S73"/>
  <c r="T73"/>
  <c r="U73"/>
  <c r="V73"/>
  <c r="W73"/>
  <c r="X73"/>
  <c r="Y73"/>
  <c r="Z73"/>
  <c r="AA73"/>
  <c r="AB73"/>
  <c r="AC73"/>
  <c r="AD73"/>
  <c r="AE73"/>
  <c r="AF73"/>
  <c r="AF16" i="76"/>
  <c r="AE16"/>
  <c r="AD16"/>
  <c r="AC16"/>
  <c r="AB16"/>
  <c r="AA16"/>
  <c r="Z16"/>
  <c r="Y16"/>
  <c r="X16"/>
  <c r="W16"/>
  <c r="V16"/>
  <c r="U16"/>
  <c r="T16"/>
  <c r="S16"/>
  <c r="F15"/>
  <c r="F72" i="77"/>
  <c r="O15" i="32"/>
  <c r="R15"/>
  <c r="U15"/>
  <c r="X15"/>
  <c r="AI15"/>
  <c r="K3" i="79" l="1"/>
  <c r="I3" i="77"/>
  <c r="AA15" i="32"/>
  <c r="AF3" i="76"/>
  <c r="AE3"/>
  <c r="AD3"/>
  <c r="AC3"/>
  <c r="AB3"/>
  <c r="AA3"/>
  <c r="Z3"/>
  <c r="Y3"/>
  <c r="X3"/>
  <c r="W3"/>
  <c r="V3"/>
  <c r="U3"/>
  <c r="T3"/>
  <c r="S3"/>
  <c r="R3"/>
  <c r="Q3"/>
  <c r="P3"/>
  <c r="O3"/>
  <c r="N3"/>
  <c r="M3"/>
  <c r="L3"/>
  <c r="K3"/>
  <c r="I3"/>
  <c r="H3"/>
  <c r="AF33" i="75"/>
  <c r="AE33"/>
  <c r="AD33"/>
  <c r="AC33"/>
  <c r="AB33"/>
  <c r="AA33"/>
  <c r="Z33"/>
  <c r="Y33"/>
  <c r="X33"/>
  <c r="W33"/>
  <c r="V33"/>
  <c r="U33"/>
  <c r="T33"/>
  <c r="S33"/>
  <c r="F32"/>
  <c r="X14" i="32"/>
  <c r="R14"/>
  <c r="O14"/>
  <c r="AI14"/>
  <c r="K15"/>
  <c r="U14"/>
  <c r="L3" i="79" l="1"/>
  <c r="J3" i="77"/>
  <c r="AE15" i="32"/>
  <c r="AA14"/>
  <c r="AF3" i="75"/>
  <c r="AE3"/>
  <c r="AD3"/>
  <c r="AC3"/>
  <c r="AB3"/>
  <c r="AA3"/>
  <c r="Z3"/>
  <c r="Y3"/>
  <c r="X3"/>
  <c r="W3"/>
  <c r="V3"/>
  <c r="U3"/>
  <c r="T3"/>
  <c r="S3"/>
  <c r="R3"/>
  <c r="Q3"/>
  <c r="P3"/>
  <c r="O3"/>
  <c r="N3"/>
  <c r="M3"/>
  <c r="L3"/>
  <c r="K3"/>
  <c r="J3"/>
  <c r="I3"/>
  <c r="H3"/>
  <c r="AF31" i="74"/>
  <c r="AE31"/>
  <c r="AD31"/>
  <c r="AC31"/>
  <c r="AB31"/>
  <c r="AA31"/>
  <c r="Z31"/>
  <c r="Y31"/>
  <c r="X31"/>
  <c r="W31"/>
  <c r="V31"/>
  <c r="U31"/>
  <c r="T31"/>
  <c r="S31"/>
  <c r="F30"/>
  <c r="R13" i="32"/>
  <c r="O13"/>
  <c r="AI13"/>
  <c r="K14"/>
  <c r="X13"/>
  <c r="U13"/>
  <c r="M3" i="79" l="1"/>
  <c r="K3" i="77"/>
  <c r="AE14" i="32"/>
  <c r="AA13"/>
  <c r="AF3" i="74"/>
  <c r="AE3"/>
  <c r="AD3"/>
  <c r="AC3"/>
  <c r="AB3"/>
  <c r="AA3"/>
  <c r="Z3"/>
  <c r="Y3"/>
  <c r="X3"/>
  <c r="W3"/>
  <c r="V3"/>
  <c r="U3"/>
  <c r="T3"/>
  <c r="S3"/>
  <c r="R3"/>
  <c r="Q3"/>
  <c r="P3"/>
  <c r="K3"/>
  <c r="L3" s="1"/>
  <c r="M3" s="1"/>
  <c r="N3" s="1"/>
  <c r="O3" s="1"/>
  <c r="H3"/>
  <c r="I3" s="1"/>
  <c r="AF17" i="73"/>
  <c r="AE17"/>
  <c r="AD17"/>
  <c r="AC17"/>
  <c r="AB17"/>
  <c r="AA17"/>
  <c r="Z17"/>
  <c r="Y17"/>
  <c r="X17"/>
  <c r="W17"/>
  <c r="V17"/>
  <c r="U17"/>
  <c r="T17"/>
  <c r="S17"/>
  <c r="F16"/>
  <c r="K13" i="32"/>
  <c r="O12"/>
  <c r="AI12"/>
  <c r="X12"/>
  <c r="R12"/>
  <c r="U12"/>
  <c r="N3" i="79" l="1"/>
  <c r="L3" i="77"/>
  <c r="AE13" i="32"/>
  <c r="AA12"/>
  <c r="AF3" i="73"/>
  <c r="AE3"/>
  <c r="AD3"/>
  <c r="AC3"/>
  <c r="AB3"/>
  <c r="AA3"/>
  <c r="Z3"/>
  <c r="Y3"/>
  <c r="X3"/>
  <c r="W3"/>
  <c r="V3"/>
  <c r="U3"/>
  <c r="T3"/>
  <c r="S3"/>
  <c r="R3"/>
  <c r="Q3"/>
  <c r="P3"/>
  <c r="O3"/>
  <c r="N3"/>
  <c r="M3"/>
  <c r="L3"/>
  <c r="K3"/>
  <c r="I3"/>
  <c r="H3"/>
  <c r="AF43" i="72"/>
  <c r="AE43"/>
  <c r="AD43"/>
  <c r="AC43"/>
  <c r="AB43"/>
  <c r="AA43"/>
  <c r="Z43"/>
  <c r="Y43"/>
  <c r="X43"/>
  <c r="W43"/>
  <c r="V43"/>
  <c r="U43"/>
  <c r="T43"/>
  <c r="S43"/>
  <c r="F42"/>
  <c r="R11" i="32"/>
  <c r="K12"/>
  <c r="U11"/>
  <c r="AI11"/>
  <c r="X11"/>
  <c r="O11"/>
  <c r="O3" i="79" l="1"/>
  <c r="M3" i="77"/>
  <c r="AE12" i="32"/>
  <c r="AA11"/>
  <c r="AF3" i="72"/>
  <c r="AE3"/>
  <c r="AD3"/>
  <c r="AC3"/>
  <c r="AB3"/>
  <c r="AA3"/>
  <c r="Z3"/>
  <c r="Y3"/>
  <c r="X3"/>
  <c r="W3"/>
  <c r="V3"/>
  <c r="U3"/>
  <c r="T3"/>
  <c r="S3"/>
  <c r="R3"/>
  <c r="Q3"/>
  <c r="P3"/>
  <c r="O3"/>
  <c r="H3"/>
  <c r="I3" s="1"/>
  <c r="J3" s="1"/>
  <c r="K3" s="1"/>
  <c r="L3" s="1"/>
  <c r="M3" s="1"/>
  <c r="N3" s="1"/>
  <c r="K11" i="32"/>
  <c r="P3" i="79" l="1"/>
  <c r="N3" i="77"/>
  <c r="AE11" i="32"/>
  <c r="Q3" i="79" l="1"/>
  <c r="O3" i="77"/>
  <c r="H3" i="71"/>
  <c r="I3" s="1"/>
  <c r="J3" s="1"/>
  <c r="K3" s="1"/>
  <c r="L3" s="1"/>
  <c r="M3" s="1"/>
  <c r="N3" s="1"/>
  <c r="O3" s="1"/>
  <c r="P3"/>
  <c r="Q3"/>
  <c r="R3"/>
  <c r="S3"/>
  <c r="T3"/>
  <c r="U3"/>
  <c r="V3"/>
  <c r="W3"/>
  <c r="X3"/>
  <c r="Y3"/>
  <c r="Z3"/>
  <c r="AA3"/>
  <c r="AB3"/>
  <c r="AC3"/>
  <c r="AD3"/>
  <c r="AE3"/>
  <c r="AF3"/>
  <c r="S34"/>
  <c r="T34"/>
  <c r="U34"/>
  <c r="V34"/>
  <c r="W34"/>
  <c r="X34"/>
  <c r="Y34"/>
  <c r="Z34"/>
  <c r="AA34"/>
  <c r="AB34"/>
  <c r="AC34"/>
  <c r="AD34"/>
  <c r="AE34"/>
  <c r="AF34"/>
  <c r="K3" i="32"/>
  <c r="O3"/>
  <c r="R3"/>
  <c r="U3"/>
  <c r="X3"/>
  <c r="AF29" i="21"/>
  <c r="AE29"/>
  <c r="AD29"/>
  <c r="AC29"/>
  <c r="AB29"/>
  <c r="AA29"/>
  <c r="Z29"/>
  <c r="Y29"/>
  <c r="X29"/>
  <c r="W29"/>
  <c r="V29"/>
  <c r="U29"/>
  <c r="T29"/>
  <c r="S29"/>
  <c r="AF3"/>
  <c r="AE3"/>
  <c r="AD3"/>
  <c r="AC3"/>
  <c r="AB3"/>
  <c r="AA3"/>
  <c r="Z3"/>
  <c r="Y3"/>
  <c r="X3"/>
  <c r="W3"/>
  <c r="V3"/>
  <c r="U3"/>
  <c r="T3"/>
  <c r="S3"/>
  <c r="R3"/>
  <c r="Q3"/>
  <c r="P3"/>
  <c r="O3"/>
  <c r="N3"/>
  <c r="M3"/>
  <c r="L3"/>
  <c r="K3"/>
  <c r="J3"/>
  <c r="I3"/>
  <c r="H3"/>
  <c r="AI3" i="32"/>
  <c r="F28" i="21"/>
  <c r="F33" i="71"/>
  <c r="X10" i="32"/>
  <c r="K10"/>
  <c r="AI10"/>
  <c r="U10"/>
  <c r="O10"/>
  <c r="R10"/>
  <c r="R3" i="79" l="1"/>
  <c r="P3" i="77"/>
  <c r="AA3" i="32"/>
  <c r="AE3" s="1"/>
  <c r="R23"/>
  <c r="U23"/>
  <c r="X23"/>
  <c r="AI23"/>
  <c r="AA10"/>
  <c r="AA23" s="1"/>
  <c r="O23"/>
  <c r="S3" i="79" l="1"/>
  <c r="Q3" i="77"/>
  <c r="AE10" i="32"/>
  <c r="T3" i="79" l="1"/>
  <c r="R3" i="77"/>
  <c r="U3" i="79" l="1"/>
  <c r="S3" i="77"/>
  <c r="V3" i="79" l="1"/>
  <c r="T3" i="77"/>
  <c r="W3" i="79" l="1"/>
  <c r="U3" i="77"/>
  <c r="X3" i="79" l="1"/>
  <c r="V3" i="77"/>
  <c r="Y3" i="79" l="1"/>
  <c r="W3" i="77"/>
  <c r="Z3" i="79" l="1"/>
  <c r="X3" i="77"/>
  <c r="AA3" i="79" l="1"/>
  <c r="Y3" i="77"/>
  <c r="AB3" i="79" l="1"/>
  <c r="Z3" i="77"/>
  <c r="AC3" i="79" l="1"/>
  <c r="AA3" i="77"/>
  <c r="AD3" i="79" l="1"/>
  <c r="AB3" i="77"/>
  <c r="AE3" i="79" l="1"/>
  <c r="AC3" i="77"/>
  <c r="AF3" i="79" l="1"/>
  <c r="AD3" i="77"/>
  <c r="AE3" s="1"/>
  <c r="AF3" s="1"/>
  <c r="K17" i="32"/>
  <c r="K16"/>
  <c r="AE17" l="1"/>
  <c r="AE16"/>
  <c r="K23"/>
  <c r="AE23" l="1"/>
  <c r="AE24" s="1"/>
  <c r="X24"/>
  <c r="O24"/>
  <c r="AA24"/>
  <c r="U24"/>
  <c r="R24"/>
</calcChain>
</file>

<file path=xl/comments1.xml><?xml version="1.0" encoding="utf-8"?>
<comments xmlns="http://schemas.openxmlformats.org/spreadsheetml/2006/main">
  <authors>
    <author>sangeeta</author>
  </authors>
  <commentList>
    <comment ref="R9" authorId="0">
      <text>
        <r>
          <rPr>
            <b/>
            <sz val="8"/>
            <color indexed="81"/>
            <rFont val="Tahoma"/>
            <family val="2"/>
          </rPr>
          <t>Not Good</t>
        </r>
      </text>
    </comment>
    <comment ref="U9" authorId="0">
      <text>
        <r>
          <rPr>
            <b/>
            <sz val="8"/>
            <color indexed="81"/>
            <rFont val="Tahoma"/>
            <family val="2"/>
          </rPr>
          <t>Testing Pending</t>
        </r>
      </text>
    </comment>
    <comment ref="X9" authorId="0">
      <text>
        <r>
          <rPr>
            <b/>
            <sz val="8"/>
            <color indexed="81"/>
            <rFont val="Tahoma"/>
            <family val="2"/>
          </rPr>
          <t>Not Applicable</t>
        </r>
      </text>
    </comment>
  </commentList>
</comments>
</file>

<file path=xl/comments2.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3.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4.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5.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6.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7.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8.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9.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0.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1.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2.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3.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4.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15.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sharedStrings.xml><?xml version="1.0" encoding="utf-8"?>
<sst xmlns="http://schemas.openxmlformats.org/spreadsheetml/2006/main" count="1279" uniqueCount="325">
  <si>
    <t>Creators Name</t>
    <phoneticPr fontId="3"/>
  </si>
  <si>
    <t>Test Result</t>
    <phoneticPr fontId="3"/>
  </si>
  <si>
    <t>Total</t>
    <phoneticPr fontId="3"/>
  </si>
  <si>
    <t>% of Total</t>
    <phoneticPr fontId="3"/>
  </si>
  <si>
    <t>Module Code</t>
    <phoneticPr fontId="3"/>
  </si>
  <si>
    <t>Project Code</t>
    <phoneticPr fontId="3"/>
  </si>
  <si>
    <t>&lt;Project Name&gt;</t>
    <phoneticPr fontId="3"/>
  </si>
  <si>
    <t>&lt;Module Name&gt;</t>
    <phoneticPr fontId="3"/>
  </si>
  <si>
    <t>&lt;code&gt;</t>
    <phoneticPr fontId="3"/>
  </si>
  <si>
    <t>&lt;Person Name&gt;</t>
    <phoneticPr fontId="3"/>
  </si>
  <si>
    <t>Date</t>
    <phoneticPr fontId="3"/>
  </si>
  <si>
    <t>&lt;Function Name&gt;</t>
    <phoneticPr fontId="3"/>
  </si>
  <si>
    <t>Page</t>
    <phoneticPr fontId="3"/>
  </si>
  <si>
    <t>1</t>
    <phoneticPr fontId="3"/>
  </si>
  <si>
    <t>New PCL</t>
    <phoneticPr fontId="3"/>
  </si>
  <si>
    <t>No</t>
    <phoneticPr fontId="3"/>
  </si>
  <si>
    <t>Function Name</t>
    <phoneticPr fontId="3"/>
  </si>
  <si>
    <t>OK</t>
    <phoneticPr fontId="3"/>
  </si>
  <si>
    <t>NG</t>
    <phoneticPr fontId="3"/>
  </si>
  <si>
    <t>PT</t>
    <phoneticPr fontId="3"/>
  </si>
  <si>
    <t>NA</t>
    <phoneticPr fontId="3"/>
  </si>
  <si>
    <t>Method Name</t>
    <phoneticPr fontId="3"/>
  </si>
  <si>
    <t>Caller function / Event</t>
    <phoneticPr fontId="3"/>
  </si>
  <si>
    <t>①</t>
    <phoneticPr fontId="3"/>
  </si>
  <si>
    <t>②</t>
    <phoneticPr fontId="3"/>
  </si>
  <si>
    <t>Verification of path flow during program execution</t>
    <phoneticPr fontId="3"/>
  </si>
  <si>
    <r>
      <t>CP</t>
    </r>
    <r>
      <rPr>
        <sz val="9"/>
        <rFont val="ＭＳ Ｐゴシック"/>
        <family val="3"/>
        <charset val="128"/>
      </rPr>
      <t>①</t>
    </r>
    <r>
      <rPr>
        <sz val="9"/>
        <rFont val="Times New Roman"/>
        <family val="1"/>
      </rPr>
      <t xml:space="preserve"> is executed.</t>
    </r>
    <phoneticPr fontId="3"/>
  </si>
  <si>
    <r>
      <t>CP</t>
    </r>
    <r>
      <rPr>
        <sz val="9"/>
        <rFont val="ＭＳ Ｐゴシック"/>
        <family val="3"/>
        <charset val="128"/>
      </rPr>
      <t>①</t>
    </r>
    <r>
      <rPr>
        <sz val="9"/>
        <rFont val="Times New Roman"/>
        <family val="1"/>
      </rPr>
      <t xml:space="preserve"> is not executed.</t>
    </r>
    <phoneticPr fontId="3"/>
  </si>
  <si>
    <r>
      <t>CP</t>
    </r>
    <r>
      <rPr>
        <sz val="9"/>
        <rFont val="ＭＳ Ｐゴシック"/>
        <family val="3"/>
        <charset val="128"/>
      </rPr>
      <t>②</t>
    </r>
    <r>
      <rPr>
        <sz val="9"/>
        <rFont val="Times New Roman"/>
        <family val="1"/>
      </rPr>
      <t xml:space="preserve"> is executed.</t>
    </r>
    <phoneticPr fontId="3"/>
  </si>
  <si>
    <r>
      <t>CP</t>
    </r>
    <r>
      <rPr>
        <sz val="9"/>
        <rFont val="ＭＳ Ｐゴシック"/>
        <family val="3"/>
        <charset val="128"/>
      </rPr>
      <t>③</t>
    </r>
    <r>
      <rPr>
        <sz val="9"/>
        <rFont val="Times New Roman"/>
        <family val="1"/>
      </rPr>
      <t xml:space="preserve"> is executed.</t>
    </r>
    <phoneticPr fontId="3"/>
  </si>
  <si>
    <t>Bug Count</t>
    <phoneticPr fontId="3"/>
  </si>
  <si>
    <t>Test Cases</t>
    <phoneticPr fontId="3"/>
  </si>
  <si>
    <t>Done</t>
    <phoneticPr fontId="3"/>
  </si>
  <si>
    <t>Total Test</t>
    <phoneticPr fontId="3"/>
  </si>
  <si>
    <t>Not Done</t>
    <phoneticPr fontId="3"/>
  </si>
  <si>
    <t>Total Bugs</t>
    <phoneticPr fontId="3"/>
  </si>
  <si>
    <t>Condition Type</t>
    <phoneticPr fontId="3"/>
  </si>
  <si>
    <t>Tested By</t>
    <phoneticPr fontId="3"/>
  </si>
  <si>
    <t>Test Date</t>
    <phoneticPr fontId="3"/>
  </si>
  <si>
    <t>Test Result</t>
    <phoneticPr fontId="3"/>
  </si>
  <si>
    <t>Bug ID</t>
    <phoneticPr fontId="3"/>
  </si>
  <si>
    <t>Bug Count</t>
    <phoneticPr fontId="3"/>
  </si>
  <si>
    <t xml:space="preserve"> </t>
    <phoneticPr fontId="3"/>
  </si>
  <si>
    <t>Check Conditions / Verification Content</t>
    <phoneticPr fontId="3"/>
  </si>
  <si>
    <t xml:space="preserve">Test Case Number </t>
    <phoneticPr fontId="3"/>
  </si>
  <si>
    <t>Input 
Conditions</t>
    <phoneticPr fontId="3"/>
  </si>
  <si>
    <t>Check Items</t>
    <phoneticPr fontId="3"/>
  </si>
  <si>
    <t>Test Status</t>
    <phoneticPr fontId="3"/>
  </si>
  <si>
    <t>Bug Details</t>
    <phoneticPr fontId="3"/>
  </si>
  <si>
    <t>Click "Add New PCL" button, 
to add new PCL sheet</t>
    <phoneticPr fontId="3"/>
  </si>
  <si>
    <t>Check Conditions / Verification Content</t>
    <phoneticPr fontId="3"/>
  </si>
  <si>
    <t xml:space="preserve">Test Case Number </t>
    <phoneticPr fontId="3"/>
  </si>
  <si>
    <t>Input 
Conditions</t>
    <phoneticPr fontId="3"/>
  </si>
  <si>
    <t>Check Items</t>
    <phoneticPr fontId="3"/>
  </si>
  <si>
    <t>Test Status</t>
    <phoneticPr fontId="3"/>
  </si>
  <si>
    <t>Bug Details</t>
    <phoneticPr fontId="3"/>
  </si>
  <si>
    <t>Page_Load</t>
  </si>
  <si>
    <t xml:space="preserve">Login Id  </t>
  </si>
  <si>
    <t>Password</t>
  </si>
  <si>
    <t>Operation Button</t>
  </si>
  <si>
    <t>Submit</t>
  </si>
  <si>
    <t>Clear</t>
  </si>
  <si>
    <t>Home</t>
  </si>
  <si>
    <t>Header</t>
  </si>
  <si>
    <t>PageTitle</t>
  </si>
  <si>
    <t>Exception</t>
  </si>
  <si>
    <t>Verification of path flow during program execution</t>
  </si>
  <si>
    <t>Element</t>
  </si>
  <si>
    <t>Label</t>
  </si>
  <si>
    <t>Editable</t>
  </si>
  <si>
    <t>Clickable</t>
  </si>
  <si>
    <t>Default</t>
  </si>
  <si>
    <t>Blank</t>
  </si>
  <si>
    <t>Visible</t>
  </si>
  <si>
    <t>True</t>
  </si>
  <si>
    <t>Header Text</t>
  </si>
  <si>
    <t>Login Details</t>
  </si>
  <si>
    <t>Page Title</t>
  </si>
  <si>
    <t>Login Page</t>
  </si>
  <si>
    <t>Page will be redirected to error page</t>
  </si>
  <si>
    <t>○</t>
  </si>
  <si>
    <t>N</t>
  </si>
  <si>
    <t>A</t>
  </si>
  <si>
    <t>=GetBugSheetName()</t>
  </si>
  <si>
    <t>Submit_Click</t>
  </si>
  <si>
    <t>Submit Click</t>
  </si>
  <si>
    <t>kishan</t>
  </si>
  <si>
    <t>kishan20</t>
  </si>
  <si>
    <t>Kishan@2020</t>
  </si>
  <si>
    <t>Submit Button Click</t>
  </si>
  <si>
    <t>Exception Occurred</t>
  </si>
  <si>
    <t>Below error message is displayed</t>
  </si>
  <si>
    <t>Please Enter the UserId</t>
  </si>
  <si>
    <t>Please Enter The Password</t>
  </si>
  <si>
    <t>Invalid UserName or Password.</t>
  </si>
  <si>
    <t>No error message is displayed  and page is redirected to Resultinfo.jsp Page</t>
  </si>
  <si>
    <t>User information is  fetched from database and displayed as follows  :                                                                                             Database name : skillup_kishan</t>
  </si>
  <si>
    <t>userdetails.Salutation : Mr.</t>
  </si>
  <si>
    <t>userdetails.UseID : Kishan20</t>
  </si>
  <si>
    <t>userdetails.Password : Kishan@2020</t>
  </si>
  <si>
    <t>userdetails.FirstName :Kishan</t>
  </si>
  <si>
    <t>userdetails.Middlename : S</t>
  </si>
  <si>
    <t>userdetails.LastName : Kustagi</t>
  </si>
  <si>
    <t>userdetails.Sex : male</t>
  </si>
  <si>
    <t>userdetails.Email_ID : kishan@usindia.com</t>
  </si>
  <si>
    <t>userdetails.Birth Date : 1992-5-20</t>
  </si>
  <si>
    <t>userdetails.Address : Belgaum</t>
  </si>
  <si>
    <t>userdetails.Interest : Web  Database Swing  Mobile                                                                              Other Interest :Cloud Computing</t>
  </si>
  <si>
    <t xml:space="preserve">Redirected to : </t>
  </si>
  <si>
    <t>Result.Jsp</t>
  </si>
  <si>
    <t>Error Page</t>
  </si>
  <si>
    <t>Clear_Click</t>
  </si>
  <si>
    <t>1. Clear Button Click</t>
    <phoneticPr fontId="3"/>
  </si>
  <si>
    <t>1.Clear_Click</t>
  </si>
  <si>
    <t xml:space="preserve">1.Login Id  </t>
  </si>
  <si>
    <t>Blank</t>
    <phoneticPr fontId="3"/>
  </si>
  <si>
    <t>2.Password</t>
    <phoneticPr fontId="3"/>
  </si>
  <si>
    <t>Edit_Page_Load</t>
  </si>
  <si>
    <t>PageLoad</t>
  </si>
  <si>
    <t>Tabel</t>
  </si>
  <si>
    <t>Operation Buttons</t>
  </si>
  <si>
    <t>Edit</t>
  </si>
  <si>
    <t>Logout</t>
  </si>
  <si>
    <t>Resultone.jsp</t>
  </si>
  <si>
    <t>Elements</t>
  </si>
  <si>
    <t>Header text</t>
  </si>
  <si>
    <t>Details</t>
  </si>
  <si>
    <t>Tabel will contain the following details :</t>
  </si>
  <si>
    <t>Refer Sheet1</t>
  </si>
  <si>
    <t>Page will be redirect to ERROR Page</t>
  </si>
  <si>
    <t>Oppss!!!!!!!!!ERROR!!!! Please contact admin</t>
  </si>
  <si>
    <t>Edit_Click</t>
  </si>
  <si>
    <t>userdetails.FirstName : kishan</t>
  </si>
  <si>
    <t>userdetails.Sex : Male</t>
  </si>
  <si>
    <t>userdetails.Address :Belgaum</t>
  </si>
  <si>
    <t>userdetails.Interest : Web</t>
  </si>
  <si>
    <t>userdetails.Other Interest : Cloud Computing</t>
  </si>
  <si>
    <t xml:space="preserve">Redirected to </t>
  </si>
  <si>
    <t xml:space="preserve"> UserDetails.jsp</t>
  </si>
  <si>
    <t>Default Values in table :                                                           Database Name  : skillup_kishan</t>
  </si>
  <si>
    <t>Table</t>
  </si>
  <si>
    <t>Edit_Button_Clicked</t>
  </si>
  <si>
    <t>Edit_Logout</t>
  </si>
  <si>
    <t>Logout_Click</t>
  </si>
  <si>
    <t>1. Logout Button Click</t>
  </si>
  <si>
    <t>Page will be redirected to Login Page</t>
  </si>
  <si>
    <t>Page will be redirected to Error Page</t>
  </si>
  <si>
    <t>Bug Count</t>
  </si>
  <si>
    <t>Bug ID</t>
  </si>
  <si>
    <t>Bug Details</t>
  </si>
  <si>
    <t>Test Result</t>
  </si>
  <si>
    <t>Test Date</t>
  </si>
  <si>
    <t>Tested By</t>
  </si>
  <si>
    <t>B</t>
  </si>
  <si>
    <t>Condition Type</t>
  </si>
  <si>
    <t>Test Status</t>
  </si>
  <si>
    <t>Home Page</t>
  </si>
  <si>
    <t>Page Title</t>
    <phoneticPr fontId="2"/>
  </si>
  <si>
    <t>Areas of Interest</t>
    <phoneticPr fontId="2"/>
  </si>
  <si>
    <t>Personal Details</t>
    <phoneticPr fontId="2"/>
  </si>
  <si>
    <t>Header Text</t>
    <phoneticPr fontId="2"/>
  </si>
  <si>
    <t>True</t>
    <phoneticPr fontId="2"/>
  </si>
  <si>
    <t>Visible</t>
    <phoneticPr fontId="2"/>
  </si>
  <si>
    <t>Other Interest : Cloud Computing</t>
  </si>
  <si>
    <t xml:space="preserve">interest :   web programming : Checked,  swing programming : Checked   ,mobile programming : Checked,  database  programming : Checked </t>
  </si>
  <si>
    <t>Address :Belgaum</t>
  </si>
  <si>
    <t>Birth Date : 1992-5 -20</t>
  </si>
  <si>
    <t>Email_ID : kishan@usindia.com</t>
  </si>
  <si>
    <t>Sex :  Male - Checked  ,Female - unchecked</t>
  </si>
  <si>
    <t>LastName : Kustagi</t>
  </si>
  <si>
    <t>Middlename : S</t>
  </si>
  <si>
    <t>FirstName : kishan</t>
  </si>
  <si>
    <t>Salutation : Mr.</t>
  </si>
  <si>
    <t>Password : Kishan@2020</t>
  </si>
  <si>
    <t>UseID : Kishan20</t>
  </si>
  <si>
    <t>Default Values :</t>
  </si>
  <si>
    <t>Checkable</t>
  </si>
  <si>
    <t>Selectable</t>
    <phoneticPr fontId="2"/>
  </si>
  <si>
    <t>Editable</t>
    <phoneticPr fontId="2"/>
  </si>
  <si>
    <t>Element</t>
    <phoneticPr fontId="2"/>
  </si>
  <si>
    <t>Verification of path flow during program execution</t>
    <phoneticPr fontId="2"/>
  </si>
  <si>
    <t>Check Items</t>
  </si>
  <si>
    <t>Update</t>
  </si>
  <si>
    <t>Operation Button</t>
    <phoneticPr fontId="2"/>
  </si>
  <si>
    <t>Other Interests</t>
    <phoneticPr fontId="2"/>
  </si>
  <si>
    <t>Mobile Programming</t>
    <phoneticPr fontId="2"/>
  </si>
  <si>
    <t>Swing Programming</t>
    <phoneticPr fontId="2"/>
  </si>
  <si>
    <t>Database Programming</t>
  </si>
  <si>
    <t>Web Programming</t>
    <phoneticPr fontId="2"/>
  </si>
  <si>
    <t>Areas of Interest*</t>
    <phoneticPr fontId="2"/>
  </si>
  <si>
    <t>Address</t>
    <phoneticPr fontId="2"/>
  </si>
  <si>
    <t>Date</t>
    <phoneticPr fontId="2"/>
  </si>
  <si>
    <t>Month</t>
    <phoneticPr fontId="2"/>
  </si>
  <si>
    <t>Year</t>
    <phoneticPr fontId="2"/>
  </si>
  <si>
    <t>Birth Date*</t>
  </si>
  <si>
    <t>Email ID</t>
    <phoneticPr fontId="2"/>
  </si>
  <si>
    <t>Female</t>
  </si>
  <si>
    <t>Male</t>
    <phoneticPr fontId="2"/>
  </si>
  <si>
    <t>Sex*</t>
    <phoneticPr fontId="2"/>
  </si>
  <si>
    <t>Last Name*</t>
    <phoneticPr fontId="2"/>
  </si>
  <si>
    <t>Middle Name</t>
    <phoneticPr fontId="2"/>
  </si>
  <si>
    <t>First Name*</t>
    <phoneticPr fontId="2"/>
  </si>
  <si>
    <t>Salutation</t>
    <phoneticPr fontId="2"/>
  </si>
  <si>
    <t>Password*</t>
    <phoneticPr fontId="2"/>
  </si>
  <si>
    <t>User ID*</t>
    <phoneticPr fontId="2"/>
  </si>
  <si>
    <t>Page_Load</t>
    <phoneticPr fontId="2"/>
  </si>
  <si>
    <t>UserDetails.jsp</t>
  </si>
  <si>
    <t>Input 
Conditions</t>
  </si>
  <si>
    <t xml:space="preserve">Test Case Number </t>
  </si>
  <si>
    <t>Check Conditions / Verification Content</t>
  </si>
  <si>
    <t>Page</t>
  </si>
  <si>
    <t>Assignment6</t>
  </si>
  <si>
    <t>Module Code</t>
  </si>
  <si>
    <t>Date</t>
  </si>
  <si>
    <t>Kishan Kustagi</t>
  </si>
  <si>
    <t>Creators Name</t>
  </si>
  <si>
    <t>Skillup_Web</t>
  </si>
  <si>
    <t>WDG</t>
  </si>
  <si>
    <t>Project Code</t>
  </si>
  <si>
    <t>Update_Page_Load</t>
  </si>
  <si>
    <t>hdsaluattion</t>
  </si>
  <si>
    <t>hiddenyear</t>
  </si>
  <si>
    <t>hiddenmonth</t>
  </si>
  <si>
    <t>hiddenDay</t>
  </si>
  <si>
    <t>Hidden</t>
  </si>
  <si>
    <t>False</t>
  </si>
  <si>
    <t>Assignment4</t>
  </si>
  <si>
    <t>PersonalDetails</t>
  </si>
  <si>
    <t>Page</t>
    <phoneticPr fontId="4"/>
  </si>
  <si>
    <t>2</t>
  </si>
  <si>
    <t>UserDetails..java</t>
  </si>
  <si>
    <t xml:space="preserve"> ○</t>
  </si>
  <si>
    <t>UserID</t>
  </si>
  <si>
    <t>kishan22</t>
  </si>
  <si>
    <t>Kishan@2222</t>
  </si>
  <si>
    <t>Salutation</t>
  </si>
  <si>
    <t xml:space="preserve">  "- "  </t>
  </si>
  <si>
    <t>Mr.</t>
  </si>
  <si>
    <t>First Name</t>
  </si>
  <si>
    <t>Kishan</t>
  </si>
  <si>
    <t>Middle Name</t>
  </si>
  <si>
    <t>k</t>
  </si>
  <si>
    <t>Last Name</t>
  </si>
  <si>
    <t>kustagi</t>
  </si>
  <si>
    <t>Male</t>
  </si>
  <si>
    <t>Mail ID</t>
  </si>
  <si>
    <t>kishan@usindia.com</t>
  </si>
  <si>
    <t>Birthdate</t>
  </si>
  <si>
    <t xml:space="preserve">Year </t>
  </si>
  <si>
    <t>Month</t>
  </si>
  <si>
    <t>Day</t>
  </si>
  <si>
    <t>Address</t>
  </si>
  <si>
    <t>Belgaum</t>
  </si>
  <si>
    <t>Areas of Interest</t>
  </si>
  <si>
    <t>Web Programming</t>
  </si>
  <si>
    <t>Swing Programming</t>
  </si>
  <si>
    <t>Mobile Programming</t>
  </si>
  <si>
    <t>Other Interests</t>
  </si>
  <si>
    <t>Cloud Computing</t>
  </si>
  <si>
    <t>Inputted data will be Stored in database and also displayed  as follows :</t>
  </si>
  <si>
    <t>Salutation : Null</t>
  </si>
  <si>
    <t>FirstName : Kishan</t>
  </si>
  <si>
    <t>Middlename : Null</t>
  </si>
  <si>
    <t>LastName : Kishan</t>
  </si>
  <si>
    <t>Sex : Male</t>
  </si>
  <si>
    <t>Email_ID : Null</t>
  </si>
  <si>
    <t>Birth Date : 1992-5-20</t>
  </si>
  <si>
    <t>Address : Null</t>
  </si>
  <si>
    <t>Interest : Web Programming</t>
  </si>
  <si>
    <t>Interest : Web Programming, Database Programming,Swing Programming, ,Mobile Programming</t>
  </si>
  <si>
    <t>Your are redirected to SuccessfullyUpdated.jsp</t>
  </si>
  <si>
    <t>Update_Click</t>
  </si>
  <si>
    <t>Update_Page_Load (2)</t>
  </si>
  <si>
    <t>Update_Logout_Click</t>
  </si>
  <si>
    <t>Salutation                 Mr</t>
  </si>
  <si>
    <t xml:space="preserve">UserId                     Kishan20   </t>
  </si>
  <si>
    <t>Password                  Kishan@2020</t>
  </si>
  <si>
    <t xml:space="preserve">FirstName                 Kishan </t>
  </si>
  <si>
    <t xml:space="preserve">Middle Initial               S </t>
  </si>
  <si>
    <t>LastName                 Kustagi</t>
  </si>
  <si>
    <t>Sex                           male</t>
  </si>
  <si>
    <t>Email Id                    kishan@usindia.com</t>
  </si>
  <si>
    <t>BirthDate                 1974-05-20</t>
  </si>
  <si>
    <t>Address                   Belgaum</t>
  </si>
  <si>
    <t>Interest                     web</t>
  </si>
  <si>
    <t>Other Interests         Cloud Computing</t>
  </si>
  <si>
    <t xml:space="preserve">   Details</t>
  </si>
  <si>
    <t>[ JVS :Skillup_Web ]</t>
  </si>
  <si>
    <t>Page_load</t>
  </si>
  <si>
    <t>Page</t>
    <phoneticPr fontId="4"/>
  </si>
  <si>
    <t>1</t>
    <phoneticPr fontId="4"/>
  </si>
  <si>
    <t>LoginServletTwo.java</t>
  </si>
  <si>
    <t>EditUserDetailsServlet.java</t>
  </si>
  <si>
    <t>4</t>
  </si>
  <si>
    <t>5</t>
  </si>
  <si>
    <t>6</t>
  </si>
  <si>
    <t>7</t>
  </si>
  <si>
    <t>8</t>
  </si>
  <si>
    <t>9</t>
  </si>
  <si>
    <t>10</t>
  </si>
  <si>
    <t>Errro Message</t>
  </si>
  <si>
    <t>User List</t>
  </si>
  <si>
    <t>userdetails.lastName = kustagi</t>
  </si>
  <si>
    <t>userdetails.firstname =Kishan</t>
  </si>
  <si>
    <t xml:space="preserve">Data Will Be Featch from data base as shown below         Database name : skillup_kishan </t>
  </si>
  <si>
    <t>UserList.jsp</t>
  </si>
  <si>
    <t>1</t>
  </si>
  <si>
    <t>UserList</t>
  </si>
  <si>
    <t>Assignment 7</t>
  </si>
  <si>
    <t>WDGPCLSkillUp</t>
  </si>
  <si>
    <t>JVS</t>
  </si>
  <si>
    <t>Edit_PageLoad(Cat_Admin)</t>
  </si>
  <si>
    <t>PersonalDetailsSubmission.java</t>
  </si>
  <si>
    <t>Kustagi</t>
  </si>
  <si>
    <t>Edit Click</t>
  </si>
  <si>
    <t>Page will be redirect to ChangeUserDetails.jsp</t>
  </si>
  <si>
    <t>Page will be Displays ERROR</t>
  </si>
  <si>
    <t>sr.no             first name             last name                  Edit</t>
  </si>
  <si>
    <t xml:space="preserve">1                  Akshata                Paschapur </t>
  </si>
  <si>
    <t xml:space="preserve">2                 Kishan                   Kustagi                  Edit </t>
  </si>
  <si>
    <t>3                Joydeep                 Dey                        Edit</t>
  </si>
  <si>
    <t>Table displays the Data As shown in sheet 2</t>
  </si>
  <si>
    <t xml:space="preserve">              User List</t>
  </si>
  <si>
    <t>sr.no</t>
  </si>
  <si>
    <t>Edit_Logout (Cat_Admin)</t>
  </si>
</sst>
</file>

<file path=xl/styles.xml><?xml version="1.0" encoding="utf-8"?>
<styleSheet xmlns="http://schemas.openxmlformats.org/spreadsheetml/2006/main">
  <numFmts count="2">
    <numFmt numFmtId="164" formatCode="0;[Red]0"/>
    <numFmt numFmtId="165" formatCode="yyyy/mm/dd;[Red]@"/>
  </numFmts>
  <fonts count="23">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9"/>
      <name val="ＭＳ Ｐゴシック"/>
      <family val="3"/>
      <charset val="128"/>
    </font>
    <font>
      <sz val="8"/>
      <color indexed="81"/>
      <name val="Tahoma"/>
      <family val="2"/>
    </font>
    <font>
      <b/>
      <sz val="8"/>
      <color indexed="81"/>
      <name val="Tahoma"/>
      <family val="2"/>
    </font>
    <font>
      <sz val="10"/>
      <name val="Arial"/>
      <family val="2"/>
    </font>
    <font>
      <b/>
      <sz val="11"/>
      <color indexed="12"/>
      <name val="Times New Roman"/>
      <family val="1"/>
    </font>
    <font>
      <sz val="9"/>
      <name val="Times New Roman"/>
      <family val="1"/>
    </font>
    <font>
      <sz val="11"/>
      <name val="Times New Roman"/>
      <family val="1"/>
    </font>
    <font>
      <b/>
      <sz val="11"/>
      <name val="Times New Roman"/>
      <family val="1"/>
    </font>
    <font>
      <sz val="16"/>
      <name val="Times New Roman"/>
      <family val="1"/>
    </font>
    <font>
      <sz val="9"/>
      <name val="ＭＳ Ｐ明朝"/>
      <family val="1"/>
      <charset val="128"/>
    </font>
    <font>
      <sz val="9"/>
      <color indexed="19"/>
      <name val="Times New Roman"/>
      <family val="1"/>
    </font>
    <font>
      <sz val="9"/>
      <color indexed="57"/>
      <name val="Times New Roman"/>
      <family val="1"/>
    </font>
    <font>
      <sz val="9"/>
      <color indexed="20"/>
      <name val="Times New Roman"/>
      <family val="1"/>
    </font>
    <font>
      <sz val="9"/>
      <color indexed="48"/>
      <name val="Times New Roman"/>
      <family val="1"/>
    </font>
    <font>
      <sz val="9"/>
      <color indexed="10"/>
      <name val="Times New Roman"/>
      <family val="1"/>
    </font>
    <font>
      <sz val="9"/>
      <color indexed="16"/>
      <name val="Times New Roman"/>
      <family val="1"/>
    </font>
    <font>
      <sz val="11"/>
      <color indexed="9"/>
      <name val="Times New Roman"/>
      <family val="1"/>
    </font>
    <font>
      <u/>
      <sz val="11"/>
      <color indexed="12"/>
      <name val="Times New Roman"/>
      <family val="1"/>
    </font>
    <font>
      <sz val="14"/>
      <color rgb="FF000000"/>
      <name val="Times New Roman"/>
      <family val="1"/>
    </font>
  </fonts>
  <fills count="8">
    <fill>
      <patternFill patternType="none"/>
    </fill>
    <fill>
      <patternFill patternType="gray125"/>
    </fill>
    <fill>
      <patternFill patternType="solid">
        <fgColor indexed="42"/>
        <bgColor indexed="64"/>
      </patternFill>
    </fill>
    <fill>
      <patternFill patternType="solid">
        <fgColor indexed="23"/>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26"/>
        <bgColor indexed="64"/>
      </patternFill>
    </fill>
  </fills>
  <borders count="62">
    <border>
      <left/>
      <right/>
      <top/>
      <bottom/>
      <diagonal/>
    </border>
    <border>
      <left/>
      <right/>
      <top style="thin">
        <color indexed="64"/>
      </top>
      <bottom style="thin">
        <color indexed="64"/>
      </bottom>
      <diagonal/>
    </border>
    <border>
      <left/>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s>
  <cellStyleXfs count="8">
    <xf numFmtId="0" fontId="0" fillId="0" borderId="0"/>
    <xf numFmtId="0" fontId="2" fillId="0" borderId="0" applyNumberFormat="0" applyFill="0" applyBorder="0" applyAlignment="0" applyProtection="0">
      <alignment vertical="top"/>
      <protection locked="0"/>
    </xf>
    <xf numFmtId="0" fontId="7" fillId="0" borderId="0"/>
    <xf numFmtId="9" fontId="1" fillId="0" borderId="0" applyFont="0" applyFill="0" applyBorder="0" applyAlignment="0" applyProtection="0"/>
    <xf numFmtId="0" fontId="1" fillId="0" borderId="0"/>
    <xf numFmtId="0" fontId="1" fillId="0" borderId="0"/>
    <xf numFmtId="0" fontId="1" fillId="0" borderId="0">
      <alignment vertical="center"/>
    </xf>
    <xf numFmtId="0" fontId="1" fillId="0" borderId="0"/>
  </cellStyleXfs>
  <cellXfs count="371">
    <xf numFmtId="0" fontId="0" fillId="0" borderId="0" xfId="0"/>
    <xf numFmtId="49" fontId="9" fillId="0" borderId="0" xfId="6" applyNumberFormat="1" applyFont="1" applyFill="1">
      <alignment vertical="center"/>
    </xf>
    <xf numFmtId="0" fontId="10" fillId="0" borderId="0" xfId="2" applyFont="1" applyAlignment="1">
      <alignment vertical="center"/>
    </xf>
    <xf numFmtId="0" fontId="10" fillId="0" borderId="0" xfId="2" applyFont="1" applyAlignment="1">
      <alignment horizontal="center" vertical="center" wrapText="1"/>
    </xf>
    <xf numFmtId="0" fontId="10" fillId="0" borderId="0" xfId="2" applyFont="1" applyAlignment="1">
      <alignment horizontal="center" vertical="center"/>
    </xf>
    <xf numFmtId="164" fontId="12" fillId="0" borderId="1" xfId="2" applyNumberFormat="1" applyFont="1" applyFill="1" applyBorder="1" applyAlignment="1">
      <alignment horizontal="center" vertical="center"/>
    </xf>
    <xf numFmtId="164" fontId="12" fillId="0" borderId="1" xfId="2" applyNumberFormat="1" applyFont="1" applyFill="1" applyBorder="1" applyAlignment="1">
      <alignment horizontal="left" vertical="center"/>
    </xf>
    <xf numFmtId="164" fontId="12" fillId="0" borderId="2" xfId="2" applyNumberFormat="1" applyFont="1" applyFill="1" applyBorder="1" applyAlignment="1">
      <alignment horizontal="center" vertical="center"/>
    </xf>
    <xf numFmtId="0" fontId="12" fillId="0" borderId="0" xfId="2" applyFont="1" applyFill="1" applyBorder="1" applyAlignment="1">
      <alignment horizontal="center" vertical="center"/>
    </xf>
    <xf numFmtId="49" fontId="9" fillId="0" borderId="0" xfId="6" applyNumberFormat="1" applyFont="1" applyFill="1" applyBorder="1">
      <alignment vertical="center"/>
    </xf>
    <xf numFmtId="49" fontId="9" fillId="0" borderId="3" xfId="6" applyNumberFormat="1" applyFont="1" applyFill="1" applyBorder="1" applyAlignment="1"/>
    <xf numFmtId="164" fontId="9" fillId="0" borderId="4" xfId="6" applyNumberFormat="1" applyFont="1" applyFill="1" applyBorder="1" applyAlignment="1">
      <alignment horizontal="center" vertical="center"/>
    </xf>
    <xf numFmtId="164" fontId="9" fillId="0" borderId="5" xfId="6" applyNumberFormat="1" applyFont="1" applyFill="1" applyBorder="1" applyAlignment="1">
      <alignment horizontal="center" vertical="center"/>
    </xf>
    <xf numFmtId="164" fontId="9" fillId="0" borderId="6" xfId="6" applyNumberFormat="1" applyFont="1" applyFill="1" applyBorder="1" applyAlignment="1">
      <alignment horizontal="center" vertical="center"/>
    </xf>
    <xf numFmtId="49" fontId="9" fillId="0" borderId="7" xfId="0" applyNumberFormat="1" applyFont="1" applyFill="1" applyBorder="1" applyAlignment="1">
      <alignment horizontal="center" vertical="top" wrapText="1"/>
    </xf>
    <xf numFmtId="49" fontId="9" fillId="0" borderId="8" xfId="0" applyNumberFormat="1" applyFont="1" applyFill="1" applyBorder="1" applyAlignment="1">
      <alignment horizontal="center" vertical="top" wrapText="1"/>
    </xf>
    <xf numFmtId="49" fontId="9" fillId="0" borderId="9" xfId="0" applyNumberFormat="1" applyFont="1" applyFill="1" applyBorder="1" applyAlignment="1">
      <alignment horizontal="center" vertical="top" wrapText="1"/>
    </xf>
    <xf numFmtId="49" fontId="9" fillId="0" borderId="0" xfId="6" applyNumberFormat="1" applyFont="1" applyFill="1" applyAlignment="1">
      <alignment vertical="center" wrapText="1"/>
    </xf>
    <xf numFmtId="49" fontId="9" fillId="0" borderId="10" xfId="0" applyNumberFormat="1" applyFont="1" applyFill="1" applyBorder="1" applyAlignment="1">
      <alignment horizontal="center" vertical="top" wrapText="1"/>
    </xf>
    <xf numFmtId="49" fontId="9" fillId="0" borderId="11" xfId="0" applyNumberFormat="1" applyFont="1" applyFill="1" applyBorder="1" applyAlignment="1">
      <alignment horizontal="center" vertical="top" wrapText="1"/>
    </xf>
    <xf numFmtId="49" fontId="9" fillId="0" borderId="12" xfId="0" applyNumberFormat="1" applyFont="1" applyFill="1" applyBorder="1" applyAlignment="1">
      <alignment horizontal="center" vertical="top" wrapText="1"/>
    </xf>
    <xf numFmtId="49" fontId="9" fillId="0" borderId="0" xfId="0" applyNumberFormat="1" applyFont="1" applyFill="1" applyBorder="1" applyAlignment="1">
      <alignment horizontal="left" vertical="top" wrapText="1"/>
    </xf>
    <xf numFmtId="49" fontId="9" fillId="0" borderId="10" xfId="0" applyNumberFormat="1" applyFont="1" applyFill="1" applyBorder="1" applyAlignment="1">
      <alignment horizontal="center" vertical="center" wrapText="1"/>
    </xf>
    <xf numFmtId="49" fontId="9" fillId="0" borderId="11" xfId="0" applyNumberFormat="1" applyFont="1" applyFill="1" applyBorder="1" applyAlignment="1">
      <alignment horizontal="center" vertical="center" wrapText="1"/>
    </xf>
    <xf numFmtId="49" fontId="9" fillId="0" borderId="12" xfId="0" applyNumberFormat="1" applyFont="1" applyFill="1" applyBorder="1" applyAlignment="1">
      <alignment horizontal="center" vertical="center" wrapText="1"/>
    </xf>
    <xf numFmtId="49" fontId="9" fillId="0" borderId="7" xfId="0" applyNumberFormat="1" applyFont="1" applyFill="1" applyBorder="1" applyAlignment="1">
      <alignment horizontal="center" vertical="center" wrapText="1"/>
    </xf>
    <xf numFmtId="49" fontId="9" fillId="0" borderId="8" xfId="0" applyNumberFormat="1" applyFont="1" applyFill="1" applyBorder="1" applyAlignment="1">
      <alignment horizontal="center" vertical="center" wrapText="1"/>
    </xf>
    <xf numFmtId="49" fontId="9" fillId="0" borderId="9" xfId="0" applyNumberFormat="1" applyFont="1" applyFill="1" applyBorder="1" applyAlignment="1">
      <alignment horizontal="center" vertical="center" wrapText="1"/>
    </xf>
    <xf numFmtId="49" fontId="9" fillId="0" borderId="13" xfId="0" applyNumberFormat="1" applyFont="1" applyFill="1" applyBorder="1" applyAlignment="1">
      <alignment horizontal="left" vertical="top" wrapText="1"/>
    </xf>
    <xf numFmtId="49" fontId="9" fillId="0" borderId="14" xfId="0" applyNumberFormat="1" applyFont="1" applyFill="1" applyBorder="1" applyAlignment="1">
      <alignment horizontal="center" vertical="center" wrapText="1"/>
    </xf>
    <xf numFmtId="49" fontId="9" fillId="0" borderId="15" xfId="0" applyNumberFormat="1" applyFont="1" applyFill="1" applyBorder="1" applyAlignment="1">
      <alignment horizontal="center" vertical="center" wrapText="1"/>
    </xf>
    <xf numFmtId="49" fontId="9" fillId="0" borderId="16" xfId="0" applyNumberFormat="1"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49" fontId="9" fillId="0" borderId="18" xfId="0" applyNumberFormat="1" applyFont="1" applyFill="1" applyBorder="1" applyAlignment="1">
      <alignment horizontal="center" vertical="center" wrapText="1"/>
    </xf>
    <xf numFmtId="49" fontId="9" fillId="0" borderId="19" xfId="0" applyNumberFormat="1" applyFont="1" applyFill="1" applyBorder="1" applyAlignment="1">
      <alignment horizontal="center" vertical="center" wrapText="1"/>
    </xf>
    <xf numFmtId="49" fontId="9" fillId="0" borderId="20" xfId="6" applyNumberFormat="1" applyFont="1" applyFill="1" applyBorder="1" applyAlignment="1">
      <alignment horizontal="center" vertical="center" wrapText="1"/>
    </xf>
    <xf numFmtId="49" fontId="9" fillId="0" borderId="7" xfId="6" applyNumberFormat="1" applyFont="1" applyFill="1" applyBorder="1" applyAlignment="1">
      <alignment horizontal="center" vertical="center" wrapText="1"/>
    </xf>
    <xf numFmtId="49" fontId="9" fillId="0" borderId="8" xfId="6" applyNumberFormat="1" applyFont="1" applyFill="1" applyBorder="1" applyAlignment="1">
      <alignment horizontal="center" vertical="center" wrapText="1"/>
    </xf>
    <xf numFmtId="49" fontId="9" fillId="0" borderId="9" xfId="6" applyNumberFormat="1" applyFont="1" applyFill="1" applyBorder="1" applyAlignment="1">
      <alignment horizontal="center" vertical="center" wrapText="1"/>
    </xf>
    <xf numFmtId="49" fontId="9" fillId="0" borderId="21" xfId="6" applyNumberFormat="1" applyFont="1" applyFill="1" applyBorder="1" applyAlignment="1">
      <alignment horizontal="center" vertical="center" wrapText="1"/>
    </xf>
    <xf numFmtId="49" fontId="9" fillId="0" borderId="10"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49" fontId="9" fillId="0" borderId="12" xfId="6" applyNumberFormat="1" applyFont="1" applyFill="1" applyBorder="1" applyAlignment="1">
      <alignment horizontal="center" vertical="center" wrapText="1"/>
    </xf>
    <xf numFmtId="165" fontId="9" fillId="0" borderId="10" xfId="6" applyNumberFormat="1" applyFont="1" applyFill="1" applyBorder="1" applyAlignment="1">
      <alignment horizontal="center" vertical="center" wrapText="1"/>
    </xf>
    <xf numFmtId="165" fontId="9" fillId="0" borderId="11" xfId="6" applyNumberFormat="1" applyFont="1" applyFill="1" applyBorder="1" applyAlignment="1">
      <alignment horizontal="center" vertical="center" wrapText="1"/>
    </xf>
    <xf numFmtId="165" fontId="9" fillId="0" borderId="12"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0" xfId="6" applyNumberFormat="1" applyFont="1" applyFill="1" applyAlignment="1">
      <alignment horizontal="center" vertical="center" wrapText="1"/>
    </xf>
    <xf numFmtId="49" fontId="9" fillId="0" borderId="23" xfId="6" applyNumberFormat="1" applyFont="1" applyFill="1" applyBorder="1" applyAlignment="1">
      <alignment horizontal="center" vertical="center" wrapText="1"/>
    </xf>
    <xf numFmtId="49" fontId="9" fillId="0" borderId="0" xfId="6" applyNumberFormat="1" applyFont="1" applyFill="1" applyBorder="1" applyAlignment="1">
      <alignment horizontal="center" vertical="center" wrapText="1"/>
    </xf>
    <xf numFmtId="49" fontId="9" fillId="0" borderId="0" xfId="6" applyNumberFormat="1" applyFont="1" applyFill="1" applyBorder="1" applyAlignment="1">
      <alignment vertical="center" wrapText="1"/>
    </xf>
    <xf numFmtId="49" fontId="9" fillId="0" borderId="0" xfId="6" applyNumberFormat="1" applyFont="1" applyFill="1" applyBorder="1" applyAlignment="1">
      <alignment horizontal="center" vertical="center"/>
    </xf>
    <xf numFmtId="164" fontId="12" fillId="0" borderId="2" xfId="2" applyNumberFormat="1" applyFont="1" applyFill="1" applyBorder="1" applyAlignment="1">
      <alignment horizontal="left" vertical="center"/>
    </xf>
    <xf numFmtId="49" fontId="9" fillId="0" borderId="15" xfId="6" applyNumberFormat="1" applyFont="1" applyFill="1" applyBorder="1" applyAlignment="1">
      <alignment horizontal="center" vertical="center" wrapText="1"/>
    </xf>
    <xf numFmtId="49" fontId="9" fillId="0" borderId="16" xfId="6" applyNumberFormat="1" applyFont="1" applyFill="1" applyBorder="1" applyAlignment="1">
      <alignment horizontal="center" vertical="center" wrapText="1"/>
    </xf>
    <xf numFmtId="0" fontId="9" fillId="0" borderId="18" xfId="6" applyNumberFormat="1" applyFont="1" applyFill="1" applyBorder="1" applyAlignment="1">
      <alignment horizontal="center" vertical="center" wrapText="1"/>
    </xf>
    <xf numFmtId="0" fontId="9" fillId="0" borderId="19" xfId="6" applyNumberFormat="1" applyFont="1" applyFill="1" applyBorder="1" applyAlignment="1">
      <alignment horizontal="center" vertical="center" wrapText="1"/>
    </xf>
    <xf numFmtId="164" fontId="10" fillId="0" borderId="0" xfId="2" applyNumberFormat="1" applyFont="1" applyFill="1" applyBorder="1" applyAlignment="1">
      <alignment horizontal="center" vertical="center"/>
    </xf>
    <xf numFmtId="164" fontId="10" fillId="0" borderId="0" xfId="2" applyNumberFormat="1" applyFont="1" applyFill="1" applyBorder="1" applyAlignment="1">
      <alignment horizontal="left" vertical="center"/>
    </xf>
    <xf numFmtId="0" fontId="10" fillId="0" borderId="0" xfId="2" applyFont="1" applyFill="1" applyAlignment="1">
      <alignment horizontal="center" vertical="center"/>
    </xf>
    <xf numFmtId="49" fontId="9" fillId="0" borderId="14" xfId="6" applyNumberFormat="1" applyFont="1" applyFill="1" applyBorder="1" applyAlignment="1">
      <alignment horizontal="center" vertical="center" wrapText="1"/>
    </xf>
    <xf numFmtId="0" fontId="9" fillId="0" borderId="17" xfId="6" applyNumberFormat="1" applyFont="1" applyFill="1" applyBorder="1" applyAlignment="1">
      <alignment horizontal="center" vertical="center" wrapText="1"/>
    </xf>
    <xf numFmtId="49" fontId="13" fillId="0" borderId="11" xfId="0" applyNumberFormat="1" applyFont="1" applyFill="1" applyBorder="1" applyAlignment="1">
      <alignment horizontal="center" vertical="center" wrapText="1"/>
    </xf>
    <xf numFmtId="49" fontId="9" fillId="2" borderId="7" xfId="6" applyNumberFormat="1" applyFont="1" applyFill="1" applyBorder="1" applyAlignment="1">
      <alignment vertical="center"/>
    </xf>
    <xf numFmtId="49" fontId="9" fillId="2" borderId="17" xfId="6" applyNumberFormat="1" applyFont="1" applyFill="1" applyBorder="1" applyAlignment="1">
      <alignment vertical="center"/>
    </xf>
    <xf numFmtId="49" fontId="14" fillId="0" borderId="24" xfId="6" applyNumberFormat="1" applyFont="1" applyFill="1" applyBorder="1" applyAlignment="1">
      <alignment horizontal="right" vertical="top" wrapText="1"/>
    </xf>
    <xf numFmtId="49" fontId="19" fillId="0" borderId="4" xfId="6" applyNumberFormat="1" applyFont="1" applyFill="1" applyBorder="1" applyAlignment="1"/>
    <xf numFmtId="49" fontId="9" fillId="0" borderId="27" xfId="5" applyNumberFormat="1" applyFont="1" applyFill="1" applyBorder="1" applyAlignment="1">
      <alignment horizontal="left" wrapText="1"/>
    </xf>
    <xf numFmtId="49" fontId="13" fillId="0" borderId="8" xfId="0" applyNumberFormat="1" applyFont="1" applyFill="1" applyBorder="1" applyAlignment="1">
      <alignment horizontal="center" vertical="center" wrapText="1"/>
    </xf>
    <xf numFmtId="49" fontId="13" fillId="0" borderId="15" xfId="0" applyNumberFormat="1" applyFont="1" applyFill="1" applyBorder="1" applyAlignment="1">
      <alignment horizontal="center" vertical="center" wrapText="1"/>
    </xf>
    <xf numFmtId="49" fontId="13" fillId="0" borderId="11" xfId="6" applyNumberFormat="1" applyFont="1" applyFill="1" applyBorder="1" applyAlignment="1">
      <alignment horizontal="center" vertical="center" wrapText="1"/>
    </xf>
    <xf numFmtId="49" fontId="13" fillId="0" borderId="18" xfId="0" applyNumberFormat="1" applyFont="1" applyFill="1" applyBorder="1" applyAlignment="1">
      <alignment horizontal="center" vertical="center" wrapText="1"/>
    </xf>
    <xf numFmtId="49" fontId="9" fillId="0" borderId="22" xfId="5" applyNumberFormat="1" applyFont="1" applyFill="1" applyBorder="1" applyAlignment="1">
      <alignment horizontal="left" wrapText="1"/>
    </xf>
    <xf numFmtId="49" fontId="9" fillId="0" borderId="31" xfId="0" applyNumberFormat="1" applyFont="1" applyFill="1" applyBorder="1" applyAlignment="1">
      <alignment horizontal="center" vertical="top" wrapText="1"/>
    </xf>
    <xf numFmtId="49" fontId="9" fillId="0" borderId="11" xfId="6" applyNumberFormat="1" applyFont="1" applyFill="1" applyBorder="1" applyAlignment="1">
      <alignment horizontal="center" vertical="center" wrapText="1"/>
    </xf>
    <xf numFmtId="49" fontId="9" fillId="0" borderId="15" xfId="0" applyNumberFormat="1" applyFont="1" applyFill="1" applyBorder="1" applyAlignment="1">
      <alignment horizontal="center" vertical="top" wrapText="1"/>
    </xf>
    <xf numFmtId="49" fontId="9" fillId="0" borderId="46" xfId="0" applyNumberFormat="1" applyFont="1" applyFill="1" applyBorder="1" applyAlignment="1">
      <alignment horizontal="center" vertical="top" wrapText="1"/>
    </xf>
    <xf numFmtId="49" fontId="9" fillId="0" borderId="13" xfId="0" applyNumberFormat="1" applyFont="1" applyFill="1" applyBorder="1" applyAlignment="1">
      <alignment horizontal="left" vertical="top" wrapText="1"/>
    </xf>
    <xf numFmtId="49" fontId="9" fillId="0" borderId="11" xfId="5" applyNumberFormat="1" applyFont="1" applyFill="1" applyBorder="1" applyAlignment="1">
      <alignment horizontal="left" wrapText="1"/>
    </xf>
    <xf numFmtId="49" fontId="9" fillId="0" borderId="11" xfId="5" applyNumberFormat="1" applyFont="1" applyFill="1" applyBorder="1" applyAlignment="1">
      <alignment horizontal="left" wrapText="1"/>
    </xf>
    <xf numFmtId="49" fontId="9" fillId="0" borderId="10" xfId="7" applyNumberFormat="1" applyFont="1" applyFill="1" applyBorder="1" applyAlignment="1">
      <alignment horizontal="center" vertical="top" wrapText="1"/>
    </xf>
    <xf numFmtId="49" fontId="9" fillId="0" borderId="11" xfId="7" applyNumberFormat="1" applyFont="1" applyFill="1" applyBorder="1" applyAlignment="1">
      <alignment horizontal="center" vertical="top" wrapText="1"/>
    </xf>
    <xf numFmtId="49" fontId="9" fillId="0" borderId="11" xfId="6" applyNumberFormat="1" applyFont="1" applyFill="1" applyBorder="1" applyAlignment="1">
      <alignment vertical="center" wrapText="1"/>
    </xf>
    <xf numFmtId="49" fontId="9" fillId="0" borderId="42" xfId="7" applyNumberFormat="1" applyFont="1" applyFill="1" applyBorder="1" applyAlignment="1">
      <alignment horizontal="center" vertical="top" wrapText="1"/>
    </xf>
    <xf numFmtId="49" fontId="9" fillId="0" borderId="15" xfId="7" applyNumberFormat="1" applyFont="1" applyFill="1" applyBorder="1" applyAlignment="1">
      <alignment horizontal="center" vertical="top" wrapText="1"/>
    </xf>
    <xf numFmtId="49" fontId="9" fillId="0" borderId="18" xfId="7" applyNumberFormat="1" applyFont="1" applyFill="1" applyBorder="1" applyAlignment="1">
      <alignment horizontal="center" vertical="top" wrapText="1"/>
    </xf>
    <xf numFmtId="49" fontId="9" fillId="0" borderId="49" xfId="0" applyNumberFormat="1" applyFont="1" applyFill="1" applyBorder="1" applyAlignment="1">
      <alignment horizontal="center" vertical="center" wrapText="1"/>
    </xf>
    <xf numFmtId="49" fontId="9" fillId="0" borderId="46" xfId="0" applyNumberFormat="1"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49" fontId="9" fillId="0" borderId="25" xfId="7" applyNumberFormat="1" applyFont="1" applyFill="1" applyBorder="1" applyAlignment="1">
      <alignment horizontal="center" vertical="top" wrapText="1"/>
    </xf>
    <xf numFmtId="49" fontId="9" fillId="0" borderId="1" xfId="7" applyNumberFormat="1" applyFont="1" applyFill="1" applyBorder="1" applyAlignment="1">
      <alignment horizontal="center" vertical="top" wrapText="1"/>
    </xf>
    <xf numFmtId="49" fontId="9" fillId="0" borderId="50" xfId="6" applyNumberFormat="1" applyFont="1" applyFill="1" applyBorder="1" applyAlignment="1">
      <alignment vertical="center" wrapText="1"/>
    </xf>
    <xf numFmtId="49" fontId="9" fillId="0" borderId="14" xfId="7"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49" fontId="9" fillId="0" borderId="11" xfId="6" applyNumberFormat="1" applyFont="1" applyFill="1" applyBorder="1" applyAlignment="1">
      <alignment horizontal="center" vertical="center" wrapText="1"/>
    </xf>
    <xf numFmtId="49" fontId="9" fillId="0" borderId="15" xfId="0" applyNumberFormat="1" applyFont="1" applyFill="1" applyBorder="1" applyAlignment="1">
      <alignment horizontal="center" vertical="top" wrapText="1"/>
    </xf>
    <xf numFmtId="49" fontId="9" fillId="0" borderId="11" xfId="0" applyNumberFormat="1" applyFont="1" applyFill="1" applyBorder="1" applyAlignment="1">
      <alignment horizontal="left" vertical="top" wrapText="1"/>
    </xf>
    <xf numFmtId="49" fontId="9" fillId="0" borderId="46" xfId="0" applyNumberFormat="1" applyFont="1" applyFill="1" applyBorder="1" applyAlignment="1">
      <alignment horizontal="center" vertical="top" wrapText="1"/>
    </xf>
    <xf numFmtId="49" fontId="9" fillId="0" borderId="18" xfId="0" applyNumberFormat="1" applyFont="1" applyFill="1" applyBorder="1" applyAlignment="1">
      <alignment horizontal="left" vertical="top" wrapText="1"/>
    </xf>
    <xf numFmtId="49" fontId="9" fillId="0" borderId="22" xfId="5" applyNumberFormat="1" applyFont="1" applyFill="1" applyBorder="1" applyAlignment="1">
      <alignment wrapText="1"/>
    </xf>
    <xf numFmtId="49" fontId="9" fillId="0" borderId="15" xfId="0" applyNumberFormat="1" applyFont="1" applyFill="1" applyBorder="1" applyAlignment="1">
      <alignment horizontal="left" vertical="top" wrapText="1"/>
    </xf>
    <xf numFmtId="49" fontId="9" fillId="0" borderId="46" xfId="6" applyNumberFormat="1" applyFont="1" applyFill="1" applyBorder="1" applyAlignment="1">
      <alignment horizontal="center" vertical="center" wrapText="1"/>
    </xf>
    <xf numFmtId="49" fontId="9" fillId="0" borderId="2" xfId="0" applyNumberFormat="1" applyFont="1" applyFill="1" applyBorder="1" applyAlignment="1">
      <alignment horizontal="center" vertical="center" wrapText="1"/>
    </xf>
    <xf numFmtId="49" fontId="9" fillId="0" borderId="11" xfId="0" applyNumberFormat="1" applyFont="1" applyFill="1" applyBorder="1" applyAlignment="1">
      <alignment horizontal="center" vertical="top" wrapText="1"/>
    </xf>
    <xf numFmtId="49" fontId="9" fillId="0" borderId="38" xfId="5" applyNumberFormat="1" applyFont="1" applyFill="1" applyBorder="1" applyAlignment="1">
      <alignment wrapText="1"/>
    </xf>
    <xf numFmtId="49" fontId="9" fillId="0" borderId="31" xfId="0" applyNumberFormat="1" applyFont="1" applyFill="1" applyBorder="1" applyAlignment="1">
      <alignment horizontal="left" vertical="top" wrapText="1"/>
    </xf>
    <xf numFmtId="49" fontId="9" fillId="0" borderId="11" xfId="5" applyNumberFormat="1" applyFont="1" applyFill="1" applyBorder="1" applyAlignment="1">
      <alignment wrapText="1"/>
    </xf>
    <xf numFmtId="49" fontId="9" fillId="0" borderId="27" xfId="5" applyNumberFormat="1" applyFont="1" applyFill="1" applyBorder="1" applyAlignment="1">
      <alignment wrapText="1"/>
    </xf>
    <xf numFmtId="49" fontId="9" fillId="0" borderId="50" xfId="0" applyNumberFormat="1" applyFont="1" applyFill="1" applyBorder="1" applyAlignment="1">
      <alignment horizontal="center" vertical="top" wrapText="1"/>
    </xf>
    <xf numFmtId="49" fontId="9" fillId="0" borderId="52" xfId="0" applyNumberFormat="1" applyFont="1" applyFill="1" applyBorder="1" applyAlignment="1">
      <alignment horizontal="center" vertical="center" wrapText="1"/>
    </xf>
    <xf numFmtId="49" fontId="9" fillId="0" borderId="29" xfId="0" applyNumberFormat="1" applyFont="1" applyFill="1" applyBorder="1" applyAlignment="1">
      <alignment horizontal="center" vertical="center" wrapText="1"/>
    </xf>
    <xf numFmtId="49" fontId="9" fillId="0" borderId="42"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9" fillId="0" borderId="53" xfId="0" applyNumberFormat="1" applyFont="1" applyFill="1" applyBorder="1" applyAlignment="1">
      <alignment horizontal="center" vertical="center" wrapText="1"/>
    </xf>
    <xf numFmtId="49" fontId="9" fillId="0" borderId="43" xfId="0" applyNumberFormat="1" applyFont="1" applyFill="1" applyBorder="1" applyAlignment="1">
      <alignment horizontal="center" vertical="center" wrapText="1"/>
    </xf>
    <xf numFmtId="49" fontId="9" fillId="0" borderId="11" xfId="0" applyNumberFormat="1" applyFont="1" applyFill="1" applyBorder="1" applyAlignment="1">
      <alignment vertical="top" wrapText="1"/>
    </xf>
    <xf numFmtId="49" fontId="9" fillId="0" borderId="25" xfId="7" applyNumberFormat="1" applyFont="1" applyFill="1" applyBorder="1" applyAlignment="1">
      <alignment horizontal="center" vertical="center" wrapText="1"/>
    </xf>
    <xf numFmtId="49" fontId="9" fillId="0" borderId="11" xfId="7" applyNumberFormat="1" applyFont="1" applyFill="1" applyBorder="1" applyAlignment="1">
      <alignment horizontal="center" vertical="center" wrapText="1"/>
    </xf>
    <xf numFmtId="49" fontId="9" fillId="0" borderId="42" xfId="7" applyNumberFormat="1" applyFont="1" applyFill="1" applyBorder="1" applyAlignment="1">
      <alignment horizontal="center" vertical="center" wrapText="1"/>
    </xf>
    <xf numFmtId="49" fontId="9" fillId="0" borderId="25" xfId="0" applyNumberFormat="1" applyFont="1" applyFill="1" applyBorder="1" applyAlignment="1">
      <alignment vertical="top" wrapText="1"/>
    </xf>
    <xf numFmtId="49" fontId="9" fillId="0" borderId="25" xfId="5" applyNumberFormat="1" applyFont="1" applyFill="1" applyBorder="1" applyAlignment="1">
      <alignment wrapText="1"/>
    </xf>
    <xf numFmtId="49" fontId="9" fillId="0" borderId="56" xfId="0" applyNumberFormat="1" applyFont="1" applyFill="1" applyBorder="1" applyAlignment="1">
      <alignment horizontal="center" vertical="center" wrapText="1"/>
    </xf>
    <xf numFmtId="49" fontId="9" fillId="0" borderId="56" xfId="0" applyNumberFormat="1" applyFont="1" applyFill="1" applyBorder="1" applyAlignment="1">
      <alignment horizontal="center" vertical="top" wrapText="1"/>
    </xf>
    <xf numFmtId="49" fontId="9" fillId="0" borderId="1" xfId="0" applyNumberFormat="1" applyFont="1" applyFill="1" applyBorder="1" applyAlignment="1">
      <alignment horizontal="center" vertical="top" wrapText="1"/>
    </xf>
    <xf numFmtId="49" fontId="9" fillId="0" borderId="34" xfId="0" applyNumberFormat="1" applyFont="1" applyFill="1" applyBorder="1" applyAlignment="1">
      <alignment horizontal="center" vertical="top" wrapText="1"/>
    </xf>
    <xf numFmtId="49" fontId="9" fillId="0" borderId="25" xfId="0" applyNumberFormat="1" applyFont="1" applyFill="1" applyBorder="1" applyAlignment="1">
      <alignment horizontal="center" vertical="top" wrapText="1"/>
    </xf>
    <xf numFmtId="0" fontId="9" fillId="0" borderId="11" xfId="0" applyFont="1" applyBorder="1" applyAlignment="1"/>
    <xf numFmtId="49" fontId="9" fillId="0" borderId="35" xfId="0" applyNumberFormat="1" applyFont="1" applyFill="1" applyBorder="1" applyAlignment="1">
      <alignment horizontal="center" vertical="center" wrapText="1"/>
    </xf>
    <xf numFmtId="49" fontId="9" fillId="0" borderId="30" xfId="0" applyNumberFormat="1" applyFont="1" applyFill="1" applyBorder="1" applyAlignment="1">
      <alignment horizontal="center" vertical="center" wrapText="1"/>
    </xf>
    <xf numFmtId="49" fontId="9" fillId="0" borderId="25" xfId="0" applyNumberFormat="1" applyFont="1" applyFill="1" applyBorder="1" applyAlignment="1">
      <alignment horizontal="center" vertical="center" wrapText="1"/>
    </xf>
    <xf numFmtId="49" fontId="9" fillId="0" borderId="35" xfId="6" applyNumberFormat="1" applyFont="1" applyFill="1" applyBorder="1" applyAlignment="1">
      <alignment horizontal="center" vertical="center" wrapText="1"/>
    </xf>
    <xf numFmtId="49" fontId="9" fillId="0" borderId="56" xfId="6" applyNumberFormat="1" applyFont="1" applyFill="1" applyBorder="1" applyAlignment="1">
      <alignment horizontal="center" vertical="center" wrapText="1"/>
    </xf>
    <xf numFmtId="49" fontId="9" fillId="0" borderId="1" xfId="6" applyNumberFormat="1" applyFont="1" applyFill="1" applyBorder="1" applyAlignment="1">
      <alignment horizontal="center" vertical="center" wrapText="1"/>
    </xf>
    <xf numFmtId="165" fontId="9" fillId="0" borderId="1"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2" xfId="6" applyNumberFormat="1" applyFont="1" applyFill="1" applyBorder="1" applyAlignment="1">
      <alignment horizontal="center" vertical="center" wrapText="1"/>
    </xf>
    <xf numFmtId="0" fontId="9" fillId="0" borderId="39" xfId="6" applyNumberFormat="1" applyFont="1" applyFill="1" applyBorder="1" applyAlignment="1">
      <alignment horizontal="center" vertical="center" wrapText="1"/>
    </xf>
    <xf numFmtId="0" fontId="22" fillId="0" borderId="0" xfId="0" applyFont="1"/>
    <xf numFmtId="0" fontId="10" fillId="0" borderId="0" xfId="0" applyFont="1"/>
    <xf numFmtId="49" fontId="9" fillId="0" borderId="34" xfId="0" applyNumberFormat="1" applyFont="1" applyFill="1" applyBorder="1" applyAlignment="1">
      <alignment horizontal="center" vertical="center" wrapText="1"/>
    </xf>
    <xf numFmtId="49" fontId="9" fillId="0" borderId="34" xfId="6" applyNumberFormat="1" applyFont="1" applyFill="1" applyBorder="1" applyAlignment="1">
      <alignment horizontal="center" vertical="center" wrapText="1"/>
    </xf>
    <xf numFmtId="49" fontId="9" fillId="0" borderId="15" xfId="5" applyNumberFormat="1" applyFont="1" applyFill="1" applyBorder="1" applyAlignment="1">
      <alignment wrapText="1"/>
    </xf>
    <xf numFmtId="49" fontId="9" fillId="0" borderId="46" xfId="6" applyNumberFormat="1" applyFont="1" applyFill="1" applyBorder="1" applyAlignment="1">
      <alignment vertical="center" wrapText="1"/>
    </xf>
    <xf numFmtId="49" fontId="9" fillId="0" borderId="8" xfId="6" applyNumberFormat="1" applyFont="1" applyFill="1" applyBorder="1" applyAlignment="1">
      <alignment vertical="center" wrapText="1"/>
    </xf>
    <xf numFmtId="49" fontId="9" fillId="0" borderId="57" xfId="0" applyNumberFormat="1" applyFont="1" applyFill="1" applyBorder="1" applyAlignment="1">
      <alignment horizontal="center" vertical="top" wrapText="1"/>
    </xf>
    <xf numFmtId="49" fontId="9" fillId="0" borderId="15" xfId="6" applyNumberFormat="1" applyFont="1" applyFill="1" applyBorder="1" applyAlignment="1">
      <alignment vertical="center" wrapText="1"/>
    </xf>
    <xf numFmtId="49" fontId="9" fillId="0" borderId="47" xfId="0" applyNumberFormat="1" applyFont="1" applyFill="1" applyBorder="1" applyAlignment="1">
      <alignment vertical="top" wrapText="1"/>
    </xf>
    <xf numFmtId="49" fontId="9" fillId="0" borderId="58" xfId="7" applyNumberFormat="1" applyFont="1" applyFill="1" applyBorder="1" applyAlignment="1">
      <alignment horizontal="center" vertical="top" wrapText="1"/>
    </xf>
    <xf numFmtId="49" fontId="9" fillId="0" borderId="31" xfId="0" applyNumberFormat="1" applyFont="1" applyFill="1" applyBorder="1" applyAlignment="1">
      <alignment vertical="top" wrapText="1"/>
    </xf>
    <xf numFmtId="49" fontId="9" fillId="0" borderId="22" xfId="0" applyNumberFormat="1" applyFont="1" applyFill="1" applyBorder="1" applyAlignment="1">
      <alignment vertical="top" wrapText="1"/>
    </xf>
    <xf numFmtId="49" fontId="9" fillId="0" borderId="15" xfId="0" applyNumberFormat="1" applyFont="1" applyFill="1" applyBorder="1" applyAlignment="1">
      <alignment vertical="top" wrapText="1"/>
    </xf>
    <xf numFmtId="49" fontId="9" fillId="0" borderId="23" xfId="6" applyNumberFormat="1" applyFont="1" applyFill="1" applyBorder="1" applyAlignment="1">
      <alignment vertical="center" wrapText="1"/>
    </xf>
    <xf numFmtId="164" fontId="9" fillId="0" borderId="59" xfId="6" applyNumberFormat="1" applyFont="1" applyFill="1" applyBorder="1" applyAlignment="1">
      <alignment horizontal="center" vertical="center"/>
    </xf>
    <xf numFmtId="164" fontId="9" fillId="0" borderId="60" xfId="6" applyNumberFormat="1" applyFont="1" applyFill="1" applyBorder="1" applyAlignment="1">
      <alignment horizontal="center" vertical="center"/>
    </xf>
    <xf numFmtId="164" fontId="9" fillId="0" borderId="61" xfId="6" applyNumberFormat="1" applyFont="1" applyFill="1" applyBorder="1" applyAlignment="1">
      <alignment horizontal="center" vertical="center"/>
    </xf>
    <xf numFmtId="49" fontId="9" fillId="0" borderId="11" xfId="6" applyNumberFormat="1" applyFont="1" applyFill="1" applyBorder="1" applyAlignment="1">
      <alignment horizontal="center" vertical="center" wrapText="1"/>
    </xf>
    <xf numFmtId="49" fontId="9" fillId="0" borderId="11" xfId="0" applyNumberFormat="1" applyFont="1" applyFill="1" applyBorder="1" applyAlignment="1">
      <alignment horizontal="center" vertical="top" wrapText="1"/>
    </xf>
    <xf numFmtId="49" fontId="9" fillId="0" borderId="15" xfId="0" applyNumberFormat="1" applyFont="1" applyFill="1" applyBorder="1" applyAlignment="1">
      <alignment horizontal="left" vertical="top" wrapText="1"/>
    </xf>
    <xf numFmtId="49" fontId="9" fillId="0" borderId="22" xfId="6" applyNumberFormat="1" applyFont="1" applyFill="1" applyBorder="1" applyAlignment="1">
      <alignment horizontal="center" vertical="center" wrapText="1"/>
    </xf>
    <xf numFmtId="164" fontId="10" fillId="5" borderId="22" xfId="2" applyNumberFormat="1" applyFont="1" applyFill="1" applyBorder="1" applyAlignment="1">
      <alignment horizontal="center" vertical="center"/>
    </xf>
    <xf numFmtId="164" fontId="10" fillId="5" borderId="1" xfId="2" applyNumberFormat="1" applyFont="1" applyFill="1" applyBorder="1" applyAlignment="1">
      <alignment horizontal="center" vertical="center"/>
    </xf>
    <xf numFmtId="164" fontId="10" fillId="5" borderId="25" xfId="2" applyNumberFormat="1" applyFont="1" applyFill="1" applyBorder="1" applyAlignment="1">
      <alignment horizontal="center" vertical="center"/>
    </xf>
    <xf numFmtId="164" fontId="10" fillId="0" borderId="22" xfId="2" applyNumberFormat="1" applyFont="1" applyBorder="1" applyAlignment="1">
      <alignment horizontal="center" vertical="center"/>
    </xf>
    <xf numFmtId="164" fontId="10" fillId="0" borderId="1" xfId="2" applyNumberFormat="1" applyFont="1" applyBorder="1" applyAlignment="1">
      <alignment horizontal="center" vertical="center"/>
    </xf>
    <xf numFmtId="164" fontId="10" fillId="0" borderId="25" xfId="2" applyNumberFormat="1" applyFont="1" applyBorder="1" applyAlignment="1">
      <alignment horizontal="center" vertical="center"/>
    </xf>
    <xf numFmtId="164" fontId="10" fillId="2" borderId="22" xfId="2" applyNumberFormat="1" applyFont="1" applyFill="1" applyBorder="1" applyAlignment="1">
      <alignment horizontal="center" vertical="center"/>
    </xf>
    <xf numFmtId="164" fontId="10" fillId="2" borderId="1" xfId="2" applyNumberFormat="1" applyFont="1" applyFill="1" applyBorder="1" applyAlignment="1">
      <alignment horizontal="center" vertical="center"/>
    </xf>
    <xf numFmtId="164" fontId="10" fillId="2" borderId="25" xfId="2" applyNumberFormat="1" applyFont="1" applyFill="1" applyBorder="1" applyAlignment="1">
      <alignment horizontal="center" vertical="center"/>
    </xf>
    <xf numFmtId="9" fontId="10" fillId="4" borderId="22" xfId="3" applyNumberFormat="1" applyFont="1" applyFill="1" applyBorder="1" applyAlignment="1">
      <alignment horizontal="center" vertical="center"/>
    </xf>
    <xf numFmtId="9" fontId="10" fillId="4" borderId="1" xfId="3" applyNumberFormat="1" applyFont="1" applyFill="1" applyBorder="1" applyAlignment="1">
      <alignment horizontal="center" vertical="center"/>
    </xf>
    <xf numFmtId="9" fontId="10" fillId="4" borderId="25" xfId="3"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4" borderId="1" xfId="2" applyNumberFormat="1" applyFont="1" applyFill="1" applyBorder="1" applyAlignment="1">
      <alignment horizontal="center" vertical="center"/>
    </xf>
    <xf numFmtId="164" fontId="10" fillId="4" borderId="25" xfId="2" applyNumberFormat="1" applyFont="1" applyFill="1" applyBorder="1" applyAlignment="1">
      <alignment horizontal="center" vertical="center"/>
    </xf>
    <xf numFmtId="164" fontId="10" fillId="4" borderId="27" xfId="2" applyNumberFormat="1" applyFont="1" applyFill="1" applyBorder="1" applyAlignment="1">
      <alignment horizontal="center" vertical="center"/>
    </xf>
    <xf numFmtId="164" fontId="10" fillId="4" borderId="2" xfId="2" applyNumberFormat="1" applyFont="1" applyFill="1" applyBorder="1" applyAlignment="1">
      <alignment horizontal="center" vertical="center"/>
    </xf>
    <xf numFmtId="164" fontId="10" fillId="4" borderId="28"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4" borderId="29" xfId="2" applyNumberFormat="1" applyFont="1" applyFill="1" applyBorder="1" applyAlignment="1">
      <alignment horizontal="center" vertical="center"/>
    </xf>
    <xf numFmtId="164" fontId="10" fillId="4" borderId="30" xfId="2" applyNumberFormat="1" applyFont="1" applyFill="1" applyBorder="1" applyAlignment="1">
      <alignment horizontal="center" vertical="center"/>
    </xf>
    <xf numFmtId="0" fontId="10" fillId="4" borderId="22"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25" xfId="2" applyFont="1" applyFill="1" applyBorder="1" applyAlignment="1">
      <alignment horizontal="center" vertical="center"/>
    </xf>
    <xf numFmtId="0" fontId="10" fillId="7" borderId="21" xfId="0" applyFont="1" applyFill="1" applyBorder="1" applyAlignment="1">
      <alignment horizontal="center" vertical="center"/>
    </xf>
    <xf numFmtId="0" fontId="10" fillId="7" borderId="30" xfId="0" applyFont="1" applyFill="1" applyBorder="1" applyAlignment="1">
      <alignment horizontal="center" vertical="center"/>
    </xf>
    <xf numFmtId="0" fontId="10" fillId="7" borderId="29" xfId="0" applyFont="1" applyFill="1" applyBorder="1" applyAlignment="1">
      <alignment horizontal="center" vertical="center"/>
    </xf>
    <xf numFmtId="164" fontId="10" fillId="0" borderId="22" xfId="2" applyNumberFormat="1" applyFont="1" applyBorder="1" applyAlignment="1" applyProtection="1">
      <alignment vertical="center" wrapText="1"/>
      <protection locked="0"/>
    </xf>
    <xf numFmtId="164" fontId="10" fillId="0" borderId="1" xfId="2" applyNumberFormat="1" applyFont="1" applyBorder="1" applyAlignment="1" applyProtection="1">
      <alignment vertical="center" wrapText="1"/>
      <protection locked="0"/>
    </xf>
    <xf numFmtId="164" fontId="10" fillId="0" borderId="25" xfId="2" applyNumberFormat="1" applyFont="1" applyBorder="1" applyAlignment="1" applyProtection="1">
      <alignment vertical="center" wrapText="1"/>
      <protection locked="0"/>
    </xf>
    <xf numFmtId="0" fontId="20" fillId="3" borderId="0" xfId="2" applyFont="1" applyFill="1" applyAlignment="1">
      <alignment horizontal="center" vertical="center" wrapText="1"/>
    </xf>
    <xf numFmtId="0" fontId="11" fillId="6" borderId="4" xfId="0" applyFont="1" applyFill="1" applyBorder="1" applyAlignment="1" applyProtection="1">
      <alignment horizontal="center" vertical="center" wrapText="1"/>
      <protection locked="0"/>
    </xf>
    <xf numFmtId="0" fontId="11" fillId="6" borderId="3" xfId="0" applyFont="1" applyFill="1" applyBorder="1" applyAlignment="1" applyProtection="1">
      <alignment horizontal="center" vertical="center" wrapText="1"/>
      <protection locked="0"/>
    </xf>
    <xf numFmtId="0" fontId="11" fillId="6" borderId="26" xfId="0" applyFont="1" applyFill="1" applyBorder="1" applyAlignment="1" applyProtection="1">
      <alignment horizontal="center" vertical="center" wrapText="1"/>
      <protection locked="0"/>
    </xf>
    <xf numFmtId="0" fontId="10" fillId="7" borderId="22"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5" xfId="0" applyFont="1" applyFill="1" applyBorder="1" applyAlignment="1">
      <alignment horizontal="center" vertical="center"/>
    </xf>
    <xf numFmtId="0" fontId="10" fillId="5" borderId="21" xfId="0" applyFont="1" applyFill="1" applyBorder="1" applyAlignment="1">
      <alignment horizontal="center" vertical="center" wrapText="1"/>
    </xf>
    <xf numFmtId="0" fontId="10" fillId="5" borderId="29" xfId="0" applyFont="1" applyFill="1" applyBorder="1" applyAlignment="1">
      <alignment horizontal="center" vertical="center" wrapText="1"/>
    </xf>
    <xf numFmtId="0" fontId="10" fillId="5" borderId="30" xfId="0" applyFont="1" applyFill="1" applyBorder="1" applyAlignment="1">
      <alignment horizontal="center" vertical="center" wrapText="1"/>
    </xf>
    <xf numFmtId="0" fontId="10" fillId="7" borderId="27"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 xfId="0" applyFont="1" applyFill="1" applyBorder="1" applyAlignment="1">
      <alignment horizontal="center" vertical="center"/>
    </xf>
    <xf numFmtId="0" fontId="10" fillId="2" borderId="21" xfId="0" applyFont="1" applyFill="1" applyBorder="1" applyAlignment="1">
      <alignment horizontal="center" vertical="center" wrapText="1"/>
    </xf>
    <xf numFmtId="0" fontId="10" fillId="2" borderId="29" xfId="0" applyFont="1" applyFill="1" applyBorder="1" applyAlignment="1">
      <alignment horizontal="center" vertical="center" wrapText="1"/>
    </xf>
    <xf numFmtId="0" fontId="10" fillId="2" borderId="30" xfId="0" applyFont="1" applyFill="1" applyBorder="1" applyAlignment="1">
      <alignment horizontal="center" vertical="center" wrapText="1"/>
    </xf>
    <xf numFmtId="0" fontId="10" fillId="2" borderId="27"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2" borderId="28" xfId="0" applyFont="1" applyFill="1" applyBorder="1" applyAlignment="1">
      <alignment horizontal="center" vertical="center" wrapText="1"/>
    </xf>
    <xf numFmtId="0" fontId="10" fillId="5" borderId="27"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7" borderId="22" xfId="0" applyFont="1" applyFill="1" applyBorder="1" applyAlignment="1">
      <alignment horizontal="center"/>
    </xf>
    <xf numFmtId="0" fontId="10" fillId="7" borderId="1" xfId="0" applyFont="1" applyFill="1" applyBorder="1" applyAlignment="1">
      <alignment horizontal="center"/>
    </xf>
    <xf numFmtId="0" fontId="10" fillId="7" borderId="25" xfId="0" applyFont="1" applyFill="1" applyBorder="1" applyAlignment="1">
      <alignment horizontal="center"/>
    </xf>
    <xf numFmtId="49" fontId="9" fillId="0" borderId="27" xfId="5" applyNumberFormat="1" applyFont="1" applyFill="1" applyBorder="1" applyAlignment="1">
      <alignment horizontal="left" wrapText="1"/>
    </xf>
    <xf numFmtId="49" fontId="9" fillId="0" borderId="2" xfId="5" applyNumberFormat="1" applyFont="1" applyFill="1" applyBorder="1" applyAlignment="1">
      <alignment horizontal="left" wrapText="1"/>
    </xf>
    <xf numFmtId="49" fontId="9" fillId="0" borderId="22" xfId="5" applyNumberFormat="1" applyFont="1" applyFill="1" applyBorder="1" applyAlignment="1">
      <alignment horizontal="left" wrapText="1"/>
    </xf>
    <xf numFmtId="49" fontId="9" fillId="0" borderId="1" xfId="5" applyNumberFormat="1" applyFont="1" applyFill="1" applyBorder="1" applyAlignment="1">
      <alignment horizontal="left" wrapText="1"/>
    </xf>
    <xf numFmtId="49" fontId="15" fillId="0" borderId="32" xfId="6" applyNumberFormat="1" applyFont="1" applyFill="1" applyBorder="1" applyAlignment="1">
      <alignment horizontal="center" vertical="center" wrapText="1"/>
    </xf>
    <xf numFmtId="49" fontId="15" fillId="0" borderId="33" xfId="6" applyNumberFormat="1" applyFont="1" applyFill="1" applyBorder="1" applyAlignment="1">
      <alignment horizontal="center" vertical="center" wrapText="1"/>
    </xf>
    <xf numFmtId="49" fontId="9" fillId="0" borderId="20" xfId="6" applyNumberFormat="1" applyFont="1" applyFill="1" applyBorder="1" applyAlignment="1">
      <alignment vertical="center" wrapText="1"/>
    </xf>
    <xf numFmtId="49" fontId="9" fillId="0" borderId="34" xfId="6" applyNumberFormat="1" applyFont="1" applyFill="1" applyBorder="1" applyAlignment="1">
      <alignment vertical="center" wrapText="1"/>
    </xf>
    <xf numFmtId="49" fontId="9" fillId="0" borderId="35" xfId="6" applyNumberFormat="1" applyFont="1" applyFill="1" applyBorder="1" applyAlignment="1">
      <alignment vertical="center" wrapText="1"/>
    </xf>
    <xf numFmtId="49" fontId="9" fillId="0" borderId="22" xfId="6" applyNumberFormat="1" applyFont="1" applyFill="1" applyBorder="1" applyAlignment="1">
      <alignment vertical="center" wrapText="1"/>
    </xf>
    <xf numFmtId="49" fontId="9" fillId="0" borderId="1" xfId="6" applyNumberFormat="1" applyFont="1" applyFill="1" applyBorder="1" applyAlignment="1">
      <alignment vertical="center" wrapText="1"/>
    </xf>
    <xf numFmtId="49" fontId="9" fillId="0" borderId="25" xfId="6" applyNumberFormat="1" applyFont="1" applyFill="1" applyBorder="1" applyAlignment="1">
      <alignment vertical="center" wrapText="1"/>
    </xf>
    <xf numFmtId="49" fontId="17" fillId="0" borderId="32" xfId="6" applyNumberFormat="1" applyFont="1" applyFill="1" applyBorder="1" applyAlignment="1">
      <alignment horizontal="center" vertical="center" wrapText="1"/>
    </xf>
    <xf numFmtId="49" fontId="17" fillId="0" borderId="33" xfId="6" applyNumberFormat="1" applyFont="1" applyFill="1" applyBorder="1" applyAlignment="1">
      <alignment horizontal="center" vertical="center" wrapText="1"/>
    </xf>
    <xf numFmtId="49" fontId="17" fillId="0" borderId="36" xfId="6" applyNumberFormat="1" applyFont="1" applyFill="1" applyBorder="1" applyAlignment="1">
      <alignment horizontal="center" vertical="center" wrapText="1"/>
    </xf>
    <xf numFmtId="49" fontId="9" fillId="0" borderId="37" xfId="0" applyNumberFormat="1" applyFont="1" applyFill="1" applyBorder="1" applyAlignment="1">
      <alignment horizontal="left" vertical="top" wrapText="1"/>
    </xf>
    <xf numFmtId="49" fontId="9" fillId="0" borderId="23" xfId="0" applyNumberFormat="1" applyFont="1" applyFill="1" applyBorder="1" applyAlignment="1">
      <alignment horizontal="left" vertical="top" wrapText="1"/>
    </xf>
    <xf numFmtId="49" fontId="9" fillId="0" borderId="31" xfId="6" applyNumberFormat="1" applyFont="1" applyFill="1" applyBorder="1" applyAlignment="1">
      <alignment horizontal="center" vertical="center" wrapText="1"/>
    </xf>
    <xf numFmtId="49" fontId="16" fillId="0" borderId="32" xfId="6" applyNumberFormat="1" applyFont="1" applyFill="1" applyBorder="1" applyAlignment="1">
      <alignment horizontal="center" vertical="center" wrapText="1"/>
    </xf>
    <xf numFmtId="49" fontId="16" fillId="0" borderId="33" xfId="6" applyNumberFormat="1" applyFont="1" applyFill="1" applyBorder="1" applyAlignment="1">
      <alignment horizontal="center" vertical="center" wrapText="1"/>
    </xf>
    <xf numFmtId="49" fontId="9" fillId="0" borderId="22" xfId="0" applyNumberFormat="1" applyFont="1" applyFill="1" applyBorder="1" applyAlignment="1">
      <alignment horizontal="left" vertical="top" wrapText="1"/>
    </xf>
    <xf numFmtId="0" fontId="10" fillId="0" borderId="1" xfId="0" applyFont="1" applyBorder="1" applyAlignment="1">
      <alignment horizontal="left" vertical="top" wrapText="1"/>
    </xf>
    <xf numFmtId="49" fontId="4" fillId="0" borderId="27" xfId="0" applyNumberFormat="1" applyFont="1" applyFill="1" applyBorder="1" applyAlignment="1">
      <alignment horizontal="left" vertical="top" wrapText="1"/>
    </xf>
    <xf numFmtId="49" fontId="9" fillId="0" borderId="1" xfId="0" applyNumberFormat="1" applyFont="1" applyFill="1" applyBorder="1" applyAlignment="1">
      <alignment horizontal="left" vertical="top" wrapText="1"/>
    </xf>
    <xf numFmtId="49" fontId="9" fillId="0" borderId="31" xfId="0" applyNumberFormat="1" applyFont="1" applyFill="1" applyBorder="1" applyAlignment="1">
      <alignment horizontal="center" vertical="top" wrapText="1"/>
    </xf>
    <xf numFmtId="49" fontId="4" fillId="0" borderId="22" xfId="0" applyNumberFormat="1" applyFont="1" applyFill="1" applyBorder="1" applyAlignment="1">
      <alignment horizontal="left" vertical="top" wrapText="1"/>
    </xf>
    <xf numFmtId="49" fontId="9" fillId="0" borderId="20" xfId="6" applyNumberFormat="1" applyFont="1" applyFill="1" applyBorder="1" applyAlignment="1">
      <alignment horizontal="center" vertical="center"/>
    </xf>
    <xf numFmtId="49" fontId="9" fillId="0" borderId="34" xfId="6" applyNumberFormat="1" applyFont="1" applyFill="1" applyBorder="1" applyAlignment="1">
      <alignment horizontal="center" vertical="center"/>
    </xf>
    <xf numFmtId="49" fontId="9" fillId="0" borderId="35"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xf>
    <xf numFmtId="49" fontId="9" fillId="0" borderId="39" xfId="6" applyNumberFormat="1" applyFont="1" applyFill="1" applyBorder="1" applyAlignment="1">
      <alignment horizontal="center" vertical="center"/>
    </xf>
    <xf numFmtId="49" fontId="9" fillId="0" borderId="40"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wrapText="1"/>
    </xf>
    <xf numFmtId="49" fontId="9" fillId="0" borderId="39" xfId="6" applyNumberFormat="1" applyFont="1" applyFill="1" applyBorder="1" applyAlignment="1">
      <alignment horizontal="center" vertical="center" wrapText="1"/>
    </xf>
    <xf numFmtId="49" fontId="9" fillId="0" borderId="40" xfId="6" applyNumberFormat="1" applyFont="1" applyFill="1" applyBorder="1" applyAlignment="1">
      <alignment horizontal="center" vertical="center" wrapText="1"/>
    </xf>
    <xf numFmtId="49" fontId="9" fillId="2" borderId="20" xfId="6" applyNumberFormat="1" applyFont="1" applyFill="1" applyBorder="1" applyAlignment="1">
      <alignment horizontal="center" vertical="center"/>
    </xf>
    <xf numFmtId="49" fontId="9" fillId="2" borderId="34" xfId="6" applyNumberFormat="1" applyFont="1" applyFill="1" applyBorder="1" applyAlignment="1">
      <alignment horizontal="center" vertical="center"/>
    </xf>
    <xf numFmtId="49" fontId="9" fillId="2" borderId="35" xfId="6" applyNumberFormat="1" applyFont="1" applyFill="1" applyBorder="1" applyAlignment="1">
      <alignment horizontal="center" vertical="center"/>
    </xf>
    <xf numFmtId="49" fontId="9" fillId="2" borderId="8" xfId="6" applyNumberFormat="1" applyFont="1" applyFill="1" applyBorder="1" applyAlignment="1">
      <alignment horizontal="center" vertical="center"/>
    </xf>
    <xf numFmtId="165" fontId="9" fillId="0" borderId="8" xfId="6" applyNumberFormat="1" applyFont="1" applyFill="1" applyBorder="1" applyAlignment="1">
      <alignment horizontal="center" vertical="center"/>
    </xf>
    <xf numFmtId="165" fontId="9" fillId="0" borderId="9" xfId="6" applyNumberFormat="1" applyFont="1" applyFill="1" applyBorder="1" applyAlignment="1">
      <alignment horizontal="center" vertical="center"/>
    </xf>
    <xf numFmtId="49" fontId="9" fillId="2" borderId="38" xfId="6" applyNumberFormat="1" applyFont="1" applyFill="1" applyBorder="1" applyAlignment="1">
      <alignment horizontal="center" vertical="center"/>
    </xf>
    <xf numFmtId="49" fontId="9" fillId="2" borderId="39" xfId="6" applyNumberFormat="1" applyFont="1" applyFill="1" applyBorder="1" applyAlignment="1">
      <alignment horizontal="center" vertical="center"/>
    </xf>
    <xf numFmtId="49" fontId="9" fillId="0" borderId="41" xfId="6" applyNumberFormat="1" applyFont="1" applyFill="1" applyBorder="1" applyAlignment="1">
      <alignment horizontal="center" vertical="center"/>
    </xf>
    <xf numFmtId="49" fontId="18" fillId="0" borderId="42" xfId="6" applyNumberFormat="1" applyFont="1" applyFill="1" applyBorder="1" applyAlignment="1">
      <alignment horizontal="center" vertical="center" wrapText="1"/>
    </xf>
    <xf numFmtId="49" fontId="18" fillId="0" borderId="43"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0" fontId="9" fillId="0" borderId="22" xfId="6" applyNumberFormat="1" applyFont="1" applyFill="1" applyBorder="1" applyAlignment="1">
      <alignment horizontal="right" vertical="center" wrapText="1"/>
    </xf>
    <xf numFmtId="0" fontId="9" fillId="0" borderId="44" xfId="6" applyNumberFormat="1" applyFont="1" applyFill="1" applyBorder="1" applyAlignment="1">
      <alignment horizontal="right" vertical="center" wrapText="1"/>
    </xf>
    <xf numFmtId="49" fontId="9" fillId="0" borderId="41" xfId="6" applyNumberFormat="1" applyFont="1" applyFill="1" applyBorder="1" applyAlignment="1">
      <alignment horizontal="center" vertical="center" wrapText="1"/>
    </xf>
    <xf numFmtId="0" fontId="10" fillId="0" borderId="44" xfId="0" applyFont="1" applyBorder="1" applyAlignment="1">
      <alignment horizontal="left" vertical="top" wrapText="1"/>
    </xf>
    <xf numFmtId="0" fontId="9" fillId="0" borderId="27" xfId="0" applyFont="1" applyBorder="1" applyAlignment="1">
      <alignment horizontal="left" vertical="top" wrapText="1"/>
    </xf>
    <xf numFmtId="0" fontId="9" fillId="0" borderId="2" xfId="0" applyFont="1" applyBorder="1" applyAlignment="1">
      <alignment horizontal="left" vertical="top" wrapText="1"/>
    </xf>
    <xf numFmtId="0" fontId="9" fillId="0" borderId="45" xfId="0" applyFont="1" applyBorder="1" applyAlignment="1">
      <alignment horizontal="left" vertical="top" wrapText="1"/>
    </xf>
    <xf numFmtId="49" fontId="9" fillId="0" borderId="11" xfId="0" applyNumberFormat="1" applyFont="1" applyFill="1" applyBorder="1" applyAlignment="1">
      <alignment horizontal="left" vertical="top" wrapText="1"/>
    </xf>
    <xf numFmtId="0" fontId="9" fillId="0" borderId="11" xfId="0" applyFont="1" applyBorder="1"/>
    <xf numFmtId="0" fontId="9" fillId="0" borderId="12" xfId="0" applyFont="1" applyBorder="1"/>
    <xf numFmtId="49" fontId="9" fillId="0" borderId="13" xfId="0" applyNumberFormat="1" applyFont="1" applyFill="1" applyBorder="1" applyAlignment="1">
      <alignment horizontal="left" vertical="top" wrapText="1"/>
    </xf>
    <xf numFmtId="49" fontId="9" fillId="0" borderId="0" xfId="0" applyNumberFormat="1" applyFont="1" applyFill="1" applyBorder="1" applyAlignment="1">
      <alignment horizontal="left" vertical="top" wrapText="1"/>
    </xf>
    <xf numFmtId="49" fontId="9" fillId="0" borderId="44" xfId="5" applyNumberFormat="1" applyFont="1" applyFill="1" applyBorder="1" applyAlignment="1">
      <alignment horizontal="left" wrapText="1"/>
    </xf>
    <xf numFmtId="49" fontId="9" fillId="0" borderId="47" xfId="0" applyNumberFormat="1" applyFont="1" applyFill="1" applyBorder="1" applyAlignment="1">
      <alignment horizontal="center" vertical="top" wrapText="1"/>
    </xf>
    <xf numFmtId="0" fontId="9" fillId="0" borderId="11" xfId="0" applyFont="1" applyBorder="1" applyAlignment="1">
      <alignment horizontal="left" vertical="top" wrapText="1"/>
    </xf>
    <xf numFmtId="0" fontId="9" fillId="0" borderId="22" xfId="0" applyFont="1" applyBorder="1" applyAlignment="1">
      <alignment horizontal="left" vertical="top" wrapText="1"/>
    </xf>
    <xf numFmtId="49" fontId="9" fillId="0" borderId="15" xfId="0" applyNumberFormat="1" applyFont="1" applyFill="1" applyBorder="1" applyAlignment="1">
      <alignment horizontal="center" vertical="top" wrapText="1"/>
    </xf>
    <xf numFmtId="49" fontId="9" fillId="0" borderId="46" xfId="0" applyNumberFormat="1" applyFont="1" applyFill="1" applyBorder="1" applyAlignment="1">
      <alignment horizontal="center" vertical="top" wrapText="1"/>
    </xf>
    <xf numFmtId="0" fontId="9" fillId="0" borderId="1" xfId="0" applyFont="1" applyBorder="1" applyAlignment="1">
      <alignment horizontal="left" vertical="top" wrapText="1"/>
    </xf>
    <xf numFmtId="0" fontId="9" fillId="0" borderId="44" xfId="0" applyFont="1" applyBorder="1" applyAlignment="1">
      <alignment horizontal="left" vertical="top" wrapText="1"/>
    </xf>
    <xf numFmtId="0" fontId="9" fillId="0" borderId="18" xfId="0" applyFont="1" applyBorder="1" applyAlignment="1">
      <alignment horizontal="left"/>
    </xf>
    <xf numFmtId="0" fontId="9" fillId="0" borderId="19" xfId="0" applyFont="1" applyBorder="1" applyAlignment="1">
      <alignment horizontal="left"/>
    </xf>
    <xf numFmtId="49" fontId="9" fillId="0" borderId="11" xfId="5" applyNumberFormat="1" applyFont="1" applyFill="1" applyBorder="1" applyAlignment="1">
      <alignment horizontal="left" wrapText="1"/>
    </xf>
    <xf numFmtId="49" fontId="9" fillId="0" borderId="15" xfId="5" applyNumberFormat="1" applyFont="1" applyFill="1" applyBorder="1" applyAlignment="1">
      <alignment horizontal="center" wrapText="1"/>
    </xf>
    <xf numFmtId="49" fontId="9" fillId="0" borderId="31" xfId="5" applyNumberFormat="1" applyFont="1" applyFill="1" applyBorder="1" applyAlignment="1">
      <alignment horizontal="center" wrapText="1"/>
    </xf>
    <xf numFmtId="49" fontId="9" fillId="0" borderId="46" xfId="5" applyNumberFormat="1" applyFont="1" applyFill="1" applyBorder="1" applyAlignment="1">
      <alignment horizontal="center" wrapText="1"/>
    </xf>
    <xf numFmtId="49" fontId="9" fillId="0" borderId="48" xfId="0" applyNumberFormat="1" applyFont="1" applyFill="1" applyBorder="1" applyAlignment="1">
      <alignment horizontal="left" vertical="top" wrapText="1"/>
    </xf>
    <xf numFmtId="49" fontId="9" fillId="0" borderId="12" xfId="0" applyNumberFormat="1" applyFont="1" applyFill="1" applyBorder="1" applyAlignment="1">
      <alignment horizontal="left" vertical="top" wrapText="1"/>
    </xf>
    <xf numFmtId="49" fontId="9" fillId="0" borderId="21" xfId="7" applyNumberFormat="1" applyFont="1" applyFill="1" applyBorder="1" applyAlignment="1">
      <alignment horizontal="left" vertical="top" wrapText="1"/>
    </xf>
    <xf numFmtId="49" fontId="9" fillId="0" borderId="1" xfId="7" applyNumberFormat="1" applyFont="1" applyFill="1" applyBorder="1" applyAlignment="1">
      <alignment horizontal="left" vertical="top" wrapText="1"/>
    </xf>
    <xf numFmtId="49" fontId="9" fillId="0" borderId="44" xfId="7" applyNumberFormat="1" applyFont="1" applyFill="1" applyBorder="1" applyAlignment="1">
      <alignment horizontal="left" vertical="top" wrapText="1"/>
    </xf>
    <xf numFmtId="49" fontId="9" fillId="0" borderId="27" xfId="7" applyNumberFormat="1" applyFont="1" applyFill="1" applyBorder="1" applyAlignment="1">
      <alignment horizontal="left" vertical="top" wrapText="1"/>
    </xf>
    <xf numFmtId="49" fontId="9" fillId="0" borderId="2" xfId="7" applyNumberFormat="1" applyFont="1" applyFill="1" applyBorder="1" applyAlignment="1">
      <alignment horizontal="left" vertical="top" wrapText="1"/>
    </xf>
    <xf numFmtId="49" fontId="9" fillId="0" borderId="45" xfId="7" applyNumberFormat="1" applyFont="1" applyFill="1" applyBorder="1" applyAlignment="1">
      <alignment horizontal="left" vertical="top" wrapText="1"/>
    </xf>
    <xf numFmtId="49" fontId="9" fillId="0" borderId="29" xfId="7" applyNumberFormat="1" applyFont="1" applyFill="1" applyBorder="1" applyAlignment="1">
      <alignment horizontal="left" vertical="top" wrapText="1"/>
    </xf>
    <xf numFmtId="49" fontId="9" fillId="0" borderId="51" xfId="7" applyNumberFormat="1" applyFont="1" applyFill="1" applyBorder="1" applyAlignment="1">
      <alignment horizontal="left" vertical="top" wrapText="1"/>
    </xf>
    <xf numFmtId="49" fontId="9" fillId="0" borderId="11" xfId="7" applyNumberFormat="1" applyFont="1" applyFill="1" applyBorder="1" applyAlignment="1">
      <alignment horizontal="left" vertical="top" wrapText="1"/>
    </xf>
    <xf numFmtId="49" fontId="9" fillId="0" borderId="12" xfId="7" applyNumberFormat="1" applyFont="1" applyFill="1" applyBorder="1" applyAlignment="1">
      <alignment horizontal="left" vertical="top" wrapText="1"/>
    </xf>
    <xf numFmtId="49" fontId="21" fillId="0" borderId="21" xfId="1" applyNumberFormat="1" applyFont="1" applyFill="1" applyBorder="1" applyAlignment="1" applyProtection="1">
      <alignment horizontal="left" vertical="top" wrapText="1"/>
    </xf>
    <xf numFmtId="49" fontId="21" fillId="0" borderId="29" xfId="1" applyNumberFormat="1" applyFont="1" applyFill="1" applyBorder="1" applyAlignment="1" applyProtection="1">
      <alignment horizontal="left" vertical="top" wrapText="1"/>
    </xf>
    <xf numFmtId="49" fontId="21" fillId="0" borderId="51" xfId="1" applyNumberFormat="1" applyFont="1" applyFill="1" applyBorder="1" applyAlignment="1" applyProtection="1">
      <alignment horizontal="left" vertical="top" wrapText="1"/>
    </xf>
    <xf numFmtId="49" fontId="9" fillId="0" borderId="22" xfId="7" applyNumberFormat="1" applyFont="1" applyFill="1" applyBorder="1" applyAlignment="1">
      <alignment horizontal="left" vertical="top" wrapText="1"/>
    </xf>
    <xf numFmtId="49" fontId="9" fillId="0" borderId="15" xfId="7" applyNumberFormat="1" applyFont="1" applyFill="1" applyBorder="1" applyAlignment="1">
      <alignment horizontal="left" vertical="top" wrapText="1"/>
    </xf>
    <xf numFmtId="49" fontId="9" fillId="0" borderId="44" xfId="0" applyNumberFormat="1" applyFont="1" applyFill="1" applyBorder="1" applyAlignment="1">
      <alignment horizontal="left" vertical="top" wrapText="1"/>
    </xf>
    <xf numFmtId="49" fontId="9" fillId="0" borderId="47" xfId="5" applyNumberFormat="1" applyFont="1" applyFill="1" applyBorder="1" applyAlignment="1">
      <alignment horizontal="center" wrapText="1"/>
    </xf>
    <xf numFmtId="49" fontId="9" fillId="0" borderId="27" xfId="5" applyNumberFormat="1" applyFont="1" applyFill="1" applyBorder="1" applyAlignment="1">
      <alignment horizontal="center" wrapText="1"/>
    </xf>
    <xf numFmtId="49" fontId="9" fillId="0" borderId="13" xfId="5" applyNumberFormat="1" applyFont="1" applyFill="1" applyBorder="1" applyAlignment="1">
      <alignment horizontal="center" wrapText="1"/>
    </xf>
    <xf numFmtId="49" fontId="9" fillId="0" borderId="21" xfId="5" applyNumberFormat="1" applyFont="1" applyFill="1" applyBorder="1" applyAlignment="1">
      <alignment horizontal="center" wrapText="1"/>
    </xf>
    <xf numFmtId="49" fontId="9" fillId="0" borderId="12" xfId="5" applyNumberFormat="1" applyFont="1" applyFill="1" applyBorder="1" applyAlignment="1">
      <alignment horizontal="left" wrapText="1"/>
    </xf>
    <xf numFmtId="49" fontId="9" fillId="0" borderId="21" xfId="6" applyNumberFormat="1" applyFont="1" applyFill="1" applyBorder="1" applyAlignment="1">
      <alignment vertical="center" wrapText="1"/>
    </xf>
    <xf numFmtId="49" fontId="9" fillId="0" borderId="25" xfId="5" applyNumberFormat="1" applyFont="1" applyFill="1" applyBorder="1" applyAlignment="1">
      <alignment horizontal="left" wrapText="1"/>
    </xf>
    <xf numFmtId="49" fontId="9" fillId="0" borderId="45" xfId="5" applyNumberFormat="1" applyFont="1" applyFill="1" applyBorder="1" applyAlignment="1">
      <alignment horizontal="left" wrapText="1"/>
    </xf>
    <xf numFmtId="49" fontId="9" fillId="0" borderId="8" xfId="0" applyNumberFormat="1" applyFont="1" applyFill="1" applyBorder="1" applyAlignment="1">
      <alignment horizontal="left" vertical="top" wrapText="1"/>
    </xf>
    <xf numFmtId="49" fontId="9" fillId="0" borderId="9" xfId="0" applyNumberFormat="1" applyFont="1" applyFill="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49" fontId="4" fillId="0" borderId="18" xfId="0" applyNumberFormat="1" applyFont="1" applyFill="1" applyBorder="1" applyAlignment="1">
      <alignment horizontal="left" vertical="top" wrapText="1"/>
    </xf>
    <xf numFmtId="49" fontId="9" fillId="0" borderId="18" xfId="0" applyNumberFormat="1" applyFont="1" applyFill="1" applyBorder="1" applyAlignment="1">
      <alignment horizontal="left" vertical="top" wrapText="1"/>
    </xf>
    <xf numFmtId="49" fontId="9" fillId="0" borderId="19" xfId="0" applyNumberFormat="1" applyFont="1" applyFill="1" applyBorder="1" applyAlignment="1">
      <alignment horizontal="left" vertical="top" wrapText="1"/>
    </xf>
    <xf numFmtId="49" fontId="9" fillId="0" borderId="15" xfId="0" applyNumberFormat="1" applyFont="1" applyFill="1" applyBorder="1" applyAlignment="1">
      <alignment horizontal="left" vertical="top" wrapText="1"/>
    </xf>
    <xf numFmtId="49" fontId="9" fillId="0" borderId="31" xfId="0" applyNumberFormat="1" applyFont="1" applyFill="1" applyBorder="1" applyAlignment="1">
      <alignment horizontal="left" vertical="top" wrapText="1"/>
    </xf>
    <xf numFmtId="49" fontId="9" fillId="0" borderId="46" xfId="0" applyNumberFormat="1" applyFont="1" applyFill="1" applyBorder="1" applyAlignment="1">
      <alignment horizontal="left" vertical="top" wrapText="1"/>
    </xf>
    <xf numFmtId="49" fontId="9" fillId="0" borderId="20" xfId="0" applyNumberFormat="1" applyFont="1" applyFill="1" applyBorder="1" applyAlignment="1">
      <alignment horizontal="left" vertical="top" wrapText="1"/>
    </xf>
    <xf numFmtId="49" fontId="9" fillId="0" borderId="11" xfId="0" applyNumberFormat="1" applyFont="1" applyFill="1" applyBorder="1" applyAlignment="1">
      <alignment horizontal="center" vertical="top" wrapText="1"/>
    </xf>
    <xf numFmtId="0" fontId="9" fillId="0" borderId="15" xfId="0" applyFont="1" applyBorder="1" applyAlignment="1">
      <alignment horizontal="left" vertical="top" wrapText="1"/>
    </xf>
    <xf numFmtId="0" fontId="9" fillId="0" borderId="46" xfId="0" applyFont="1" applyBorder="1" applyAlignment="1">
      <alignment horizontal="left" vertical="top" wrapText="1"/>
    </xf>
    <xf numFmtId="0" fontId="0" fillId="0" borderId="34" xfId="0" applyBorder="1"/>
    <xf numFmtId="0" fontId="0" fillId="0" borderId="55" xfId="0" applyBorder="1"/>
    <xf numFmtId="0" fontId="0" fillId="0" borderId="1" xfId="0" applyBorder="1"/>
    <xf numFmtId="0" fontId="0" fillId="0" borderId="44" xfId="0" applyBorder="1"/>
    <xf numFmtId="0" fontId="0" fillId="0" borderId="2" xfId="0" applyBorder="1"/>
    <xf numFmtId="0" fontId="0" fillId="0" borderId="45" xfId="0" applyBorder="1"/>
    <xf numFmtId="49" fontId="9" fillId="0" borderId="38" xfId="0" applyNumberFormat="1" applyFont="1" applyFill="1" applyBorder="1" applyAlignment="1">
      <alignment horizontal="left" vertical="top" wrapText="1"/>
    </xf>
    <xf numFmtId="49" fontId="9" fillId="0" borderId="39" xfId="0" applyNumberFormat="1" applyFont="1" applyFill="1" applyBorder="1" applyAlignment="1">
      <alignment horizontal="left" vertical="top" wrapText="1"/>
    </xf>
    <xf numFmtId="49" fontId="9" fillId="0" borderId="41" xfId="0" applyNumberFormat="1" applyFont="1" applyFill="1" applyBorder="1" applyAlignment="1">
      <alignment horizontal="left" vertical="top" wrapText="1"/>
    </xf>
    <xf numFmtId="49" fontId="9" fillId="0" borderId="16" xfId="0" applyNumberFormat="1" applyFont="1" applyFill="1" applyBorder="1" applyAlignment="1">
      <alignment horizontal="left" vertical="top" wrapText="1"/>
    </xf>
    <xf numFmtId="49" fontId="16" fillId="0" borderId="50" xfId="6" applyNumberFormat="1" applyFont="1" applyFill="1" applyBorder="1" applyAlignment="1">
      <alignment horizontal="center" vertical="center" wrapText="1"/>
    </xf>
    <xf numFmtId="49" fontId="9" fillId="0" borderId="38" xfId="7" applyNumberFormat="1" applyFont="1" applyFill="1" applyBorder="1" applyAlignment="1">
      <alignment horizontal="left" vertical="top" wrapText="1"/>
    </xf>
    <xf numFmtId="49" fontId="9" fillId="0" borderId="39" xfId="7" applyNumberFormat="1" applyFont="1" applyFill="1" applyBorder="1" applyAlignment="1">
      <alignment horizontal="left" vertical="top" wrapText="1"/>
    </xf>
    <xf numFmtId="49" fontId="9" fillId="0" borderId="41" xfId="7" applyNumberFormat="1" applyFont="1" applyFill="1" applyBorder="1" applyAlignment="1">
      <alignment horizontal="left" vertical="top" wrapText="1"/>
    </xf>
    <xf numFmtId="0" fontId="10" fillId="0" borderId="22" xfId="0" applyFont="1" applyBorder="1" applyAlignment="1">
      <alignment horizontal="left" vertical="top" wrapText="1"/>
    </xf>
    <xf numFmtId="0" fontId="9" fillId="0" borderId="22" xfId="0" applyFont="1" applyBorder="1" applyAlignment="1">
      <alignment horizontal="left"/>
    </xf>
    <xf numFmtId="0" fontId="9" fillId="0" borderId="1" xfId="0" applyFont="1" applyBorder="1" applyAlignment="1">
      <alignment horizontal="left"/>
    </xf>
    <xf numFmtId="0" fontId="9" fillId="0" borderId="44" xfId="0" applyFont="1" applyBorder="1" applyAlignment="1">
      <alignment horizontal="left"/>
    </xf>
    <xf numFmtId="49" fontId="9" fillId="0" borderId="25" xfId="0" applyNumberFormat="1" applyFont="1" applyFill="1" applyBorder="1" applyAlignment="1">
      <alignment horizontal="left" vertical="top" wrapText="1"/>
    </xf>
    <xf numFmtId="49" fontId="9" fillId="0" borderId="38" xfId="5" applyNumberFormat="1" applyFont="1" applyFill="1" applyBorder="1" applyAlignment="1">
      <alignment horizontal="left" wrapText="1"/>
    </xf>
    <xf numFmtId="49" fontId="9" fillId="0" borderId="39" xfId="5" applyNumberFormat="1" applyFont="1" applyFill="1" applyBorder="1" applyAlignment="1">
      <alignment horizontal="left" wrapText="1"/>
    </xf>
    <xf numFmtId="49" fontId="9" fillId="0" borderId="41" xfId="5" applyNumberFormat="1" applyFont="1" applyFill="1" applyBorder="1" applyAlignment="1">
      <alignment horizontal="left" wrapText="1"/>
    </xf>
    <xf numFmtId="49" fontId="9" fillId="0" borderId="22" xfId="6" applyNumberFormat="1" applyFont="1" applyFill="1" applyBorder="1" applyAlignment="1">
      <alignment horizontal="center" vertical="center" wrapText="1"/>
    </xf>
    <xf numFmtId="49" fontId="9" fillId="0" borderId="1" xfId="6" applyNumberFormat="1" applyFont="1" applyFill="1" applyBorder="1" applyAlignment="1">
      <alignment horizontal="center" vertical="center" wrapText="1"/>
    </xf>
    <xf numFmtId="49" fontId="9" fillId="0" borderId="25" xfId="6" applyNumberFormat="1" applyFont="1" applyFill="1" applyBorder="1" applyAlignment="1">
      <alignment horizontal="center" vertical="center" wrapText="1"/>
    </xf>
    <xf numFmtId="49" fontId="9" fillId="0" borderId="16" xfId="7" applyNumberFormat="1" applyFont="1" applyFill="1" applyBorder="1" applyAlignment="1">
      <alignment horizontal="left" vertical="top" wrapText="1"/>
    </xf>
    <xf numFmtId="49" fontId="9" fillId="0" borderId="34" xfId="0" applyNumberFormat="1" applyFont="1" applyFill="1" applyBorder="1" applyAlignment="1">
      <alignment horizontal="left" vertical="top" wrapText="1"/>
    </xf>
    <xf numFmtId="49" fontId="9" fillId="0" borderId="55" xfId="0" applyNumberFormat="1" applyFont="1" applyFill="1" applyBorder="1" applyAlignment="1">
      <alignment horizontal="left" vertical="top" wrapText="1"/>
    </xf>
    <xf numFmtId="0" fontId="9" fillId="0" borderId="11" xfId="6" applyNumberFormat="1" applyFont="1" applyFill="1" applyBorder="1" applyAlignment="1">
      <alignment horizontal="left" vertical="center" wrapText="1"/>
    </xf>
    <xf numFmtId="49" fontId="9" fillId="0" borderId="11" xfId="6" applyNumberFormat="1" applyFont="1" applyFill="1" applyBorder="1" applyAlignment="1">
      <alignment horizontal="left" vertical="center" wrapText="1"/>
    </xf>
    <xf numFmtId="49" fontId="9" fillId="0" borderId="12" xfId="6" applyNumberFormat="1" applyFont="1" applyFill="1" applyBorder="1" applyAlignment="1">
      <alignment horizontal="left" vertical="center" wrapText="1"/>
    </xf>
    <xf numFmtId="0" fontId="9" fillId="0" borderId="11" xfId="0" applyNumberFormat="1" applyFont="1" applyFill="1" applyBorder="1" applyAlignment="1">
      <alignment horizontal="left" vertical="top" wrapText="1"/>
    </xf>
    <xf numFmtId="0" fontId="9" fillId="0" borderId="22" xfId="0" applyNumberFormat="1" applyFont="1" applyFill="1" applyBorder="1" applyAlignment="1">
      <alignment horizontal="left" vertical="top" wrapText="1"/>
    </xf>
    <xf numFmtId="0" fontId="9" fillId="0" borderId="11" xfId="0" applyFont="1" applyBorder="1" applyAlignment="1">
      <alignment horizontal="left"/>
    </xf>
    <xf numFmtId="0" fontId="9" fillId="0" borderId="12" xfId="0" applyFont="1" applyBorder="1" applyAlignment="1">
      <alignment horizontal="left"/>
    </xf>
    <xf numFmtId="49" fontId="21" fillId="0" borderId="11" xfId="1" applyNumberFormat="1" applyFont="1" applyFill="1" applyBorder="1" applyAlignment="1" applyProtection="1">
      <alignment horizontal="left" vertical="top" wrapText="1"/>
    </xf>
    <xf numFmtId="49" fontId="2" fillId="0" borderId="11" xfId="1" applyNumberFormat="1" applyFill="1" applyBorder="1" applyAlignment="1" applyProtection="1">
      <alignment horizontal="left" vertical="top" wrapText="1"/>
    </xf>
    <xf numFmtId="49" fontId="9" fillId="0" borderId="54" xfId="0" applyNumberFormat="1" applyFont="1" applyFill="1" applyBorder="1" applyAlignment="1">
      <alignment horizontal="left" vertical="top" wrapText="1"/>
    </xf>
    <xf numFmtId="49" fontId="9" fillId="0" borderId="47" xfId="0" applyNumberFormat="1" applyFont="1" applyFill="1" applyBorder="1" applyAlignment="1">
      <alignment horizontal="left" vertical="top" wrapText="1"/>
    </xf>
    <xf numFmtId="49" fontId="9" fillId="0" borderId="22" xfId="7" applyNumberFormat="1" applyFont="1" applyFill="1" applyBorder="1" applyAlignment="1">
      <alignment horizontal="center" vertical="center" wrapText="1"/>
    </xf>
    <xf numFmtId="49" fontId="9" fillId="0" borderId="22" xfId="0" applyNumberFormat="1" applyFont="1" applyFill="1" applyBorder="1" applyAlignment="1">
      <alignment horizontal="center" vertical="center" wrapText="1"/>
    </xf>
    <xf numFmtId="49" fontId="9" fillId="0" borderId="27" xfId="0" applyNumberFormat="1" applyFont="1" applyFill="1" applyBorder="1" applyAlignment="1">
      <alignment horizontal="center" vertical="center" wrapText="1"/>
    </xf>
    <xf numFmtId="49" fontId="9" fillId="0" borderId="20" xfId="0" applyNumberFormat="1" applyFont="1" applyFill="1" applyBorder="1" applyAlignment="1">
      <alignment horizontal="center" vertical="center" wrapText="1"/>
    </xf>
    <xf numFmtId="49" fontId="9" fillId="0" borderId="31" xfId="0" applyNumberFormat="1" applyFont="1" applyFill="1" applyBorder="1" applyAlignment="1">
      <alignment horizontal="center" vertical="center" wrapText="1"/>
    </xf>
  </cellXfs>
  <cellStyles count="8">
    <cellStyle name="Hyperlink" xfId="1" builtinId="8"/>
    <cellStyle name="Normal" xfId="0" builtinId="0"/>
    <cellStyle name="Normal_Program Check List1" xfId="7"/>
    <cellStyle name="Normal_単価テスト_財産管理" xfId="2"/>
    <cellStyle name="Percent" xfId="3" builtinId="5"/>
    <cellStyle name="標準_format(USI)" xfId="4"/>
    <cellStyle name="標準_Sheet1_コピー ～ 一括失効" xfId="5"/>
    <cellStyle name="標準_コピー ～ 一括失効" xfId="6"/>
  </cellStyles>
  <dxfs count="105">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ont>
        <b/>
        <i val="0"/>
        <condense val="0"/>
        <extend val="0"/>
        <color indexed="9"/>
      </font>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2594"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112641" name="Line 1"/>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1"/>
        <xdr:cNvSpPr>
          <a:spLocks noChangeShapeType="1"/>
        </xdr:cNvSpPr>
      </xdr:nvSpPr>
      <xdr:spPr bwMode="auto">
        <a:xfrm>
          <a:off x="0" y="371475"/>
          <a:ext cx="1933575" cy="142875"/>
        </a:xfrm>
        <a:prstGeom prst="line">
          <a:avLst/>
        </a:prstGeom>
        <a:noFill/>
        <a:ln w="9525">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371475"/>
          <a:ext cx="1933575" cy="142875"/>
        </a:xfrm>
        <a:prstGeom prst="line">
          <a:avLst/>
        </a:prstGeom>
        <a:noFill/>
        <a:ln w="9525">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Kishan@202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mailto:Kishan@2222" TargetMode="External"/><Relationship Id="rId1" Type="http://schemas.openxmlformats.org/officeDocument/2006/relationships/hyperlink" Target="mailto:kishan@usindia.com" TargetMode="External"/><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sheetPr codeName="Sheet1"/>
  <dimension ref="A1:AL41"/>
  <sheetViews>
    <sheetView tabSelected="1" view="pageBreakPreview" zoomScale="85" zoomScaleNormal="100" zoomScaleSheetLayoutView="85" workbookViewId="0">
      <pane ySplit="9" topLeftCell="A10" activePane="bottomLeft" state="frozen"/>
      <selection activeCell="A5" sqref="A5"/>
      <selection pane="bottomLeft" activeCell="AS15" sqref="AS15"/>
    </sheetView>
  </sheetViews>
  <sheetFormatPr defaultColWidth="2.625" defaultRowHeight="15"/>
  <cols>
    <col min="1" max="16384" width="2.625" style="3"/>
  </cols>
  <sheetData>
    <row r="1" spans="2:38" hidden="1"/>
    <row r="2" spans="2:38" hidden="1">
      <c r="B2" s="2" t="s">
        <v>14</v>
      </c>
      <c r="C2" s="2"/>
    </row>
    <row r="3" spans="2:38" s="4" customFormat="1" ht="13.5" hidden="1" customHeight="1">
      <c r="B3" s="162"/>
      <c r="C3" s="164"/>
      <c r="D3" s="186"/>
      <c r="E3" s="187"/>
      <c r="F3" s="187"/>
      <c r="G3" s="187"/>
      <c r="H3" s="187"/>
      <c r="I3" s="187"/>
      <c r="J3" s="188"/>
      <c r="K3" s="159">
        <f ca="1">IF($D3="",0,MAX(INDIRECT("'"&amp;$D3&amp;"'!$H3:$AZ3")))</f>
        <v>0</v>
      </c>
      <c r="L3" s="160"/>
      <c r="M3" s="160"/>
      <c r="N3" s="161"/>
      <c r="O3" s="162" t="str">
        <f ca="1">IF($D3="","",COUNTIF(INDIRECT("'"&amp;$D3&amp;"'!$H"&amp;ROW(INDIRECT("'"&amp;$D3&amp;"'!TestResult"))&amp;":$AZ"&amp;ROW(INDIRECT("'"&amp;$D3&amp;"'!TestResult"))),O$9))</f>
        <v/>
      </c>
      <c r="P3" s="163"/>
      <c r="Q3" s="164"/>
      <c r="R3" s="162" t="str">
        <f ca="1">IF($D3="","",COUNTIF(INDIRECT("'"&amp;$D3&amp;"'!$H"&amp;ROW(INDIRECT("'"&amp;$D3&amp;"'!TestResult"))&amp;":$AZ"&amp;ROW(INDIRECT("'"&amp;$D3&amp;"'!TestResult"))),R$9))</f>
        <v/>
      </c>
      <c r="S3" s="163"/>
      <c r="T3" s="164"/>
      <c r="U3" s="162" t="str">
        <f ca="1">IF($D3="","",COUNTIF(INDIRECT("'"&amp;$D3&amp;"'!$H"&amp;ROW(INDIRECT("'"&amp;$D3&amp;"'!TestResult"))&amp;":$AZ"&amp;ROW(INDIRECT("'"&amp;$D3&amp;"'!TestResult"))),U$9))</f>
        <v/>
      </c>
      <c r="V3" s="163"/>
      <c r="W3" s="164"/>
      <c r="X3" s="162" t="str">
        <f ca="1">IF($D3="","",COUNTIF(INDIRECT("'"&amp;$D3&amp;"'!$H"&amp;ROW(INDIRECT("'"&amp;$D3&amp;"'!TestResult"))&amp;":$AZ"&amp;ROW(INDIRECT("'"&amp;$D3&amp;"'!TestResult"))),X$9))</f>
        <v/>
      </c>
      <c r="Y3" s="163"/>
      <c r="Z3" s="164"/>
      <c r="AA3" s="159">
        <f ca="1">SUM(O3:Z3)</f>
        <v>0</v>
      </c>
      <c r="AB3" s="160"/>
      <c r="AC3" s="160"/>
      <c r="AD3" s="161"/>
      <c r="AE3" s="159">
        <f ca="1">K3-AA3</f>
        <v>0</v>
      </c>
      <c r="AF3" s="160"/>
      <c r="AG3" s="160"/>
      <c r="AH3" s="161"/>
      <c r="AI3" s="165" t="str">
        <f ca="1">IF($D3="","",SUM(INDIRECT("'"&amp;$D3&amp;"'!BugCount")))</f>
        <v/>
      </c>
      <c r="AJ3" s="166"/>
      <c r="AK3" s="166"/>
      <c r="AL3" s="167"/>
    </row>
    <row r="4" spans="2:38" s="59" customFormat="1" hidden="1">
      <c r="B4" s="57"/>
      <c r="C4" s="57"/>
      <c r="D4" s="58"/>
      <c r="E4" s="58"/>
      <c r="F4" s="58"/>
      <c r="G4" s="58"/>
      <c r="H4" s="58"/>
      <c r="I4" s="58"/>
      <c r="J4" s="58"/>
      <c r="K4" s="57"/>
      <c r="L4" s="57"/>
      <c r="M4" s="57"/>
      <c r="N4" s="57"/>
      <c r="O4" s="57"/>
      <c r="P4" s="57"/>
      <c r="Q4" s="57"/>
      <c r="R4" s="57"/>
      <c r="S4" s="57"/>
      <c r="T4" s="57"/>
      <c r="U4" s="57"/>
      <c r="V4" s="57"/>
      <c r="W4" s="57"/>
      <c r="X4" s="57"/>
      <c r="Y4" s="57"/>
      <c r="Z4" s="57"/>
      <c r="AA4" s="57"/>
      <c r="AB4" s="57"/>
      <c r="AC4" s="57"/>
      <c r="AD4" s="57"/>
      <c r="AE4" s="57"/>
      <c r="AF4" s="57"/>
      <c r="AG4" s="57"/>
      <c r="AH4" s="57"/>
      <c r="AI4" s="57"/>
      <c r="AJ4" s="57"/>
      <c r="AK4" s="57"/>
      <c r="AL4" s="57"/>
    </row>
    <row r="5" spans="2:38" ht="15.75" thickBot="1"/>
    <row r="6" spans="2:38" ht="14.25" customHeight="1" thickBot="1">
      <c r="B6" s="190" t="s">
        <v>287</v>
      </c>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2"/>
    </row>
    <row r="8" spans="2:38" ht="13.5" customHeight="1">
      <c r="B8" s="199"/>
      <c r="C8" s="200"/>
      <c r="D8" s="199"/>
      <c r="E8" s="201"/>
      <c r="F8" s="201"/>
      <c r="G8" s="201"/>
      <c r="H8" s="201"/>
      <c r="I8" s="201"/>
      <c r="J8" s="200"/>
      <c r="K8" s="208" t="s">
        <v>2</v>
      </c>
      <c r="L8" s="209"/>
      <c r="M8" s="209"/>
      <c r="N8" s="210"/>
      <c r="O8" s="211" t="s">
        <v>1</v>
      </c>
      <c r="P8" s="212"/>
      <c r="Q8" s="212"/>
      <c r="R8" s="212"/>
      <c r="S8" s="212"/>
      <c r="T8" s="212"/>
      <c r="U8" s="212"/>
      <c r="V8" s="212"/>
      <c r="W8" s="212"/>
      <c r="X8" s="212"/>
      <c r="Y8" s="212"/>
      <c r="Z8" s="213"/>
      <c r="AA8" s="208" t="s">
        <v>33</v>
      </c>
      <c r="AB8" s="209"/>
      <c r="AC8" s="209"/>
      <c r="AD8" s="210"/>
      <c r="AE8" s="208" t="s">
        <v>33</v>
      </c>
      <c r="AF8" s="209"/>
      <c r="AG8" s="209"/>
      <c r="AH8" s="210"/>
      <c r="AI8" s="205"/>
      <c r="AJ8" s="206"/>
      <c r="AK8" s="206"/>
      <c r="AL8" s="207"/>
    </row>
    <row r="9" spans="2:38" s="4" customFormat="1">
      <c r="B9" s="183" t="s">
        <v>15</v>
      </c>
      <c r="C9" s="184"/>
      <c r="D9" s="183" t="s">
        <v>16</v>
      </c>
      <c r="E9" s="185"/>
      <c r="F9" s="185"/>
      <c r="G9" s="185"/>
      <c r="H9" s="185"/>
      <c r="I9" s="185"/>
      <c r="J9" s="184"/>
      <c r="K9" s="196" t="s">
        <v>31</v>
      </c>
      <c r="L9" s="197"/>
      <c r="M9" s="197"/>
      <c r="N9" s="198"/>
      <c r="O9" s="193" t="s">
        <v>17</v>
      </c>
      <c r="P9" s="194"/>
      <c r="Q9" s="195"/>
      <c r="R9" s="193" t="s">
        <v>18</v>
      </c>
      <c r="S9" s="194"/>
      <c r="T9" s="195"/>
      <c r="U9" s="193" t="s">
        <v>19</v>
      </c>
      <c r="V9" s="194"/>
      <c r="W9" s="195"/>
      <c r="X9" s="193" t="s">
        <v>20</v>
      </c>
      <c r="Y9" s="194"/>
      <c r="Z9" s="195"/>
      <c r="AA9" s="196" t="s">
        <v>32</v>
      </c>
      <c r="AB9" s="197"/>
      <c r="AC9" s="197"/>
      <c r="AD9" s="198"/>
      <c r="AE9" s="196" t="s">
        <v>34</v>
      </c>
      <c r="AF9" s="197"/>
      <c r="AG9" s="197"/>
      <c r="AH9" s="198"/>
      <c r="AI9" s="202" t="s">
        <v>35</v>
      </c>
      <c r="AJ9" s="203"/>
      <c r="AK9" s="203"/>
      <c r="AL9" s="204"/>
    </row>
    <row r="10" spans="2:38" s="4" customFormat="1">
      <c r="B10" s="162">
        <v>1</v>
      </c>
      <c r="C10" s="164"/>
      <c r="D10" s="186" t="s">
        <v>56</v>
      </c>
      <c r="E10" s="187"/>
      <c r="F10" s="187"/>
      <c r="G10" s="187"/>
      <c r="H10" s="187"/>
      <c r="I10" s="187"/>
      <c r="J10" s="188"/>
      <c r="K10" s="159">
        <f t="shared" ref="K10:K19" ca="1" si="0">IF($D10="",0,MAX(INDIRECT("'"&amp;$D10&amp;"'!$H3:$AZ3")))</f>
        <v>8</v>
      </c>
      <c r="L10" s="160"/>
      <c r="M10" s="160"/>
      <c r="N10" s="161"/>
      <c r="O10" s="162">
        <f t="shared" ref="O10:O19" ca="1" si="1">IF($D10="","",COUNTIF(INDIRECT("'"&amp;$D10&amp;"'!$H"&amp;ROW(INDIRECT("'"&amp;$D10&amp;"'!TestResult"))&amp;":$AZ"&amp;ROW(INDIRECT("'"&amp;$D10&amp;"'!TestResult"))),O$9))</f>
        <v>0</v>
      </c>
      <c r="P10" s="163"/>
      <c r="Q10" s="164"/>
      <c r="R10" s="162">
        <f t="shared" ref="R10:R19" ca="1" si="2">IF($D10="","",COUNTIF(INDIRECT("'"&amp;$D10&amp;"'!$H"&amp;ROW(INDIRECT("'"&amp;$D10&amp;"'!TestResult"))&amp;":$AZ"&amp;ROW(INDIRECT("'"&amp;$D10&amp;"'!TestResult"))),R$9))</f>
        <v>0</v>
      </c>
      <c r="S10" s="163"/>
      <c r="T10" s="164"/>
      <c r="U10" s="162">
        <f t="shared" ref="U10:U19" ca="1" si="3">IF($D10="","",COUNTIF(INDIRECT("'"&amp;$D10&amp;"'!$H"&amp;ROW(INDIRECT("'"&amp;$D10&amp;"'!TestResult"))&amp;":$AZ"&amp;ROW(INDIRECT("'"&amp;$D10&amp;"'!TestResult"))),U$9))</f>
        <v>0</v>
      </c>
      <c r="V10" s="163"/>
      <c r="W10" s="164"/>
      <c r="X10" s="162">
        <f t="shared" ref="X10:X19" ca="1" si="4">IF($D10="","",COUNTIF(INDIRECT("'"&amp;$D10&amp;"'!$H"&amp;ROW(INDIRECT("'"&amp;$D10&amp;"'!TestResult"))&amp;":$AZ"&amp;ROW(INDIRECT("'"&amp;$D10&amp;"'!TestResult"))),X$9))</f>
        <v>0</v>
      </c>
      <c r="Y10" s="163"/>
      <c r="Z10" s="164"/>
      <c r="AA10" s="159">
        <f t="shared" ref="AA10:AA19" ca="1" si="5">SUM(O10:Z10)</f>
        <v>0</v>
      </c>
      <c r="AB10" s="160"/>
      <c r="AC10" s="160"/>
      <c r="AD10" s="161"/>
      <c r="AE10" s="159">
        <f t="shared" ref="AE10:AE19" ca="1" si="6">K10-AA10</f>
        <v>8</v>
      </c>
      <c r="AF10" s="160"/>
      <c r="AG10" s="160"/>
      <c r="AH10" s="161"/>
      <c r="AI10" s="165">
        <f t="shared" ref="AI10:AI19" ca="1" si="7">IF($D10="","",SUM(INDIRECT("'"&amp;$D10&amp;"'!BugCount")))</f>
        <v>0</v>
      </c>
      <c r="AJ10" s="166"/>
      <c r="AK10" s="166"/>
      <c r="AL10" s="167"/>
    </row>
    <row r="11" spans="2:38" s="4" customFormat="1">
      <c r="B11" s="162">
        <v>2</v>
      </c>
      <c r="C11" s="164"/>
      <c r="D11" s="186" t="s">
        <v>84</v>
      </c>
      <c r="E11" s="187"/>
      <c r="F11" s="187"/>
      <c r="G11" s="187"/>
      <c r="H11" s="187"/>
      <c r="I11" s="187"/>
      <c r="J11" s="188"/>
      <c r="K11" s="159">
        <f t="shared" ca="1" si="0"/>
        <v>7</v>
      </c>
      <c r="L11" s="160"/>
      <c r="M11" s="160"/>
      <c r="N11" s="161"/>
      <c r="O11" s="162">
        <f t="shared" ca="1" si="1"/>
        <v>0</v>
      </c>
      <c r="P11" s="163"/>
      <c r="Q11" s="164"/>
      <c r="R11" s="162">
        <f t="shared" ca="1" si="2"/>
        <v>0</v>
      </c>
      <c r="S11" s="163"/>
      <c r="T11" s="164"/>
      <c r="U11" s="162">
        <f t="shared" ca="1" si="3"/>
        <v>0</v>
      </c>
      <c r="V11" s="163"/>
      <c r="W11" s="164"/>
      <c r="X11" s="162">
        <f t="shared" ca="1" si="4"/>
        <v>0</v>
      </c>
      <c r="Y11" s="163"/>
      <c r="Z11" s="164"/>
      <c r="AA11" s="159">
        <f t="shared" ca="1" si="5"/>
        <v>0</v>
      </c>
      <c r="AB11" s="160"/>
      <c r="AC11" s="160"/>
      <c r="AD11" s="161"/>
      <c r="AE11" s="159">
        <f t="shared" ca="1" si="6"/>
        <v>7</v>
      </c>
      <c r="AF11" s="160"/>
      <c r="AG11" s="160"/>
      <c r="AH11" s="161"/>
      <c r="AI11" s="165">
        <f t="shared" ca="1" si="7"/>
        <v>0</v>
      </c>
      <c r="AJ11" s="166"/>
      <c r="AK11" s="166"/>
      <c r="AL11" s="167"/>
    </row>
    <row r="12" spans="2:38" s="4" customFormat="1">
      <c r="B12" s="162">
        <v>3</v>
      </c>
      <c r="C12" s="164"/>
      <c r="D12" s="186" t="s">
        <v>111</v>
      </c>
      <c r="E12" s="187"/>
      <c r="F12" s="187"/>
      <c r="G12" s="187"/>
      <c r="H12" s="187"/>
      <c r="I12" s="187"/>
      <c r="J12" s="188"/>
      <c r="K12" s="159">
        <f t="shared" ca="1" si="0"/>
        <v>1</v>
      </c>
      <c r="L12" s="160"/>
      <c r="M12" s="160"/>
      <c r="N12" s="161"/>
      <c r="O12" s="162">
        <f t="shared" ca="1" si="1"/>
        <v>0</v>
      </c>
      <c r="P12" s="163"/>
      <c r="Q12" s="164"/>
      <c r="R12" s="162">
        <f t="shared" ca="1" si="2"/>
        <v>0</v>
      </c>
      <c r="S12" s="163"/>
      <c r="T12" s="164"/>
      <c r="U12" s="162">
        <f t="shared" ca="1" si="3"/>
        <v>0</v>
      </c>
      <c r="V12" s="163"/>
      <c r="W12" s="164"/>
      <c r="X12" s="162">
        <f t="shared" ca="1" si="4"/>
        <v>0</v>
      </c>
      <c r="Y12" s="163"/>
      <c r="Z12" s="164"/>
      <c r="AA12" s="159">
        <f t="shared" ca="1" si="5"/>
        <v>0</v>
      </c>
      <c r="AB12" s="160"/>
      <c r="AC12" s="160"/>
      <c r="AD12" s="161"/>
      <c r="AE12" s="159">
        <f t="shared" ca="1" si="6"/>
        <v>1</v>
      </c>
      <c r="AF12" s="160"/>
      <c r="AG12" s="160"/>
      <c r="AH12" s="161"/>
      <c r="AI12" s="165">
        <f t="shared" ca="1" si="7"/>
        <v>0</v>
      </c>
      <c r="AJ12" s="166"/>
      <c r="AK12" s="166"/>
      <c r="AL12" s="167"/>
    </row>
    <row r="13" spans="2:38" s="4" customFormat="1">
      <c r="B13" s="162">
        <v>4</v>
      </c>
      <c r="C13" s="164"/>
      <c r="D13" s="186" t="s">
        <v>117</v>
      </c>
      <c r="E13" s="187"/>
      <c r="F13" s="187"/>
      <c r="G13" s="187"/>
      <c r="H13" s="187"/>
      <c r="I13" s="187"/>
      <c r="J13" s="188"/>
      <c r="K13" s="159">
        <f t="shared" ca="1" si="0"/>
        <v>6</v>
      </c>
      <c r="L13" s="160"/>
      <c r="M13" s="160"/>
      <c r="N13" s="161"/>
      <c r="O13" s="162">
        <f t="shared" ca="1" si="1"/>
        <v>0</v>
      </c>
      <c r="P13" s="163"/>
      <c r="Q13" s="164"/>
      <c r="R13" s="162">
        <f t="shared" ca="1" si="2"/>
        <v>0</v>
      </c>
      <c r="S13" s="163"/>
      <c r="T13" s="164"/>
      <c r="U13" s="162">
        <f t="shared" ca="1" si="3"/>
        <v>0</v>
      </c>
      <c r="V13" s="163"/>
      <c r="W13" s="164"/>
      <c r="X13" s="162">
        <f t="shared" ca="1" si="4"/>
        <v>0</v>
      </c>
      <c r="Y13" s="163"/>
      <c r="Z13" s="164"/>
      <c r="AA13" s="159">
        <f t="shared" ca="1" si="5"/>
        <v>0</v>
      </c>
      <c r="AB13" s="160"/>
      <c r="AC13" s="160"/>
      <c r="AD13" s="161"/>
      <c r="AE13" s="159">
        <f t="shared" ca="1" si="6"/>
        <v>6</v>
      </c>
      <c r="AF13" s="160"/>
      <c r="AG13" s="160"/>
      <c r="AH13" s="161"/>
      <c r="AI13" s="165">
        <f t="shared" ca="1" si="7"/>
        <v>0</v>
      </c>
      <c r="AJ13" s="166"/>
      <c r="AK13" s="166"/>
      <c r="AL13" s="167"/>
    </row>
    <row r="14" spans="2:38" s="4" customFormat="1">
      <c r="B14" s="162">
        <v>5</v>
      </c>
      <c r="C14" s="164"/>
      <c r="D14" s="186" t="s">
        <v>131</v>
      </c>
      <c r="E14" s="187"/>
      <c r="F14" s="187"/>
      <c r="G14" s="187"/>
      <c r="H14" s="187"/>
      <c r="I14" s="187"/>
      <c r="J14" s="188"/>
      <c r="K14" s="159">
        <f t="shared" ca="1" si="0"/>
        <v>2</v>
      </c>
      <c r="L14" s="160"/>
      <c r="M14" s="160"/>
      <c r="N14" s="161"/>
      <c r="O14" s="162">
        <f t="shared" ca="1" si="1"/>
        <v>0</v>
      </c>
      <c r="P14" s="163"/>
      <c r="Q14" s="164"/>
      <c r="R14" s="162">
        <f t="shared" ca="1" si="2"/>
        <v>0</v>
      </c>
      <c r="S14" s="163"/>
      <c r="T14" s="164"/>
      <c r="U14" s="162">
        <f t="shared" ca="1" si="3"/>
        <v>0</v>
      </c>
      <c r="V14" s="163"/>
      <c r="W14" s="164"/>
      <c r="X14" s="162">
        <f t="shared" ca="1" si="4"/>
        <v>0</v>
      </c>
      <c r="Y14" s="163"/>
      <c r="Z14" s="164"/>
      <c r="AA14" s="159">
        <f t="shared" ca="1" si="5"/>
        <v>0</v>
      </c>
      <c r="AB14" s="160"/>
      <c r="AC14" s="160"/>
      <c r="AD14" s="161"/>
      <c r="AE14" s="159">
        <f t="shared" ca="1" si="6"/>
        <v>2</v>
      </c>
      <c r="AF14" s="160"/>
      <c r="AG14" s="160"/>
      <c r="AH14" s="161"/>
      <c r="AI14" s="165">
        <f t="shared" ca="1" si="7"/>
        <v>0</v>
      </c>
      <c r="AJ14" s="166"/>
      <c r="AK14" s="166"/>
      <c r="AL14" s="167"/>
    </row>
    <row r="15" spans="2:38" s="4" customFormat="1">
      <c r="B15" s="162">
        <v>6</v>
      </c>
      <c r="C15" s="164"/>
      <c r="D15" s="186" t="s">
        <v>142</v>
      </c>
      <c r="E15" s="187"/>
      <c r="F15" s="187"/>
      <c r="G15" s="187"/>
      <c r="H15" s="187"/>
      <c r="I15" s="187"/>
      <c r="J15" s="188"/>
      <c r="K15" s="159">
        <f t="shared" ca="1" si="0"/>
        <v>2</v>
      </c>
      <c r="L15" s="160"/>
      <c r="M15" s="160"/>
      <c r="N15" s="161"/>
      <c r="O15" s="162">
        <f t="shared" ca="1" si="1"/>
        <v>0</v>
      </c>
      <c r="P15" s="163"/>
      <c r="Q15" s="164"/>
      <c r="R15" s="162">
        <f t="shared" ca="1" si="2"/>
        <v>0</v>
      </c>
      <c r="S15" s="163"/>
      <c r="T15" s="164"/>
      <c r="U15" s="162">
        <f t="shared" ca="1" si="3"/>
        <v>0</v>
      </c>
      <c r="V15" s="163"/>
      <c r="W15" s="164"/>
      <c r="X15" s="162">
        <f t="shared" ca="1" si="4"/>
        <v>0</v>
      </c>
      <c r="Y15" s="163"/>
      <c r="Z15" s="164"/>
      <c r="AA15" s="159">
        <f t="shared" ca="1" si="5"/>
        <v>0</v>
      </c>
      <c r="AB15" s="160"/>
      <c r="AC15" s="160"/>
      <c r="AD15" s="161"/>
      <c r="AE15" s="159">
        <f t="shared" ca="1" si="6"/>
        <v>2</v>
      </c>
      <c r="AF15" s="160"/>
      <c r="AG15" s="160"/>
      <c r="AH15" s="161"/>
      <c r="AI15" s="165">
        <f t="shared" ca="1" si="7"/>
        <v>0</v>
      </c>
      <c r="AJ15" s="166"/>
      <c r="AK15" s="166"/>
      <c r="AL15" s="167"/>
    </row>
    <row r="16" spans="2:38" s="4" customFormat="1">
      <c r="B16" s="162">
        <v>7</v>
      </c>
      <c r="C16" s="164"/>
      <c r="D16" s="186" t="s">
        <v>219</v>
      </c>
      <c r="E16" s="187"/>
      <c r="F16" s="187"/>
      <c r="G16" s="187"/>
      <c r="H16" s="187"/>
      <c r="I16" s="187"/>
      <c r="J16" s="188"/>
      <c r="K16" s="159">
        <f t="shared" ca="1" si="0"/>
        <v>25</v>
      </c>
      <c r="L16" s="160"/>
      <c r="M16" s="160"/>
      <c r="N16" s="161"/>
      <c r="O16" s="162">
        <f t="shared" ca="1" si="1"/>
        <v>0</v>
      </c>
      <c r="P16" s="163"/>
      <c r="Q16" s="164"/>
      <c r="R16" s="162">
        <f t="shared" ca="1" si="2"/>
        <v>0</v>
      </c>
      <c r="S16" s="163"/>
      <c r="T16" s="164"/>
      <c r="U16" s="162">
        <f t="shared" ca="1" si="3"/>
        <v>0</v>
      </c>
      <c r="V16" s="163"/>
      <c r="W16" s="164"/>
      <c r="X16" s="162">
        <f t="shared" ca="1" si="4"/>
        <v>0</v>
      </c>
      <c r="Y16" s="163"/>
      <c r="Z16" s="164"/>
      <c r="AA16" s="159">
        <f t="shared" ca="1" si="5"/>
        <v>0</v>
      </c>
      <c r="AB16" s="160"/>
      <c r="AC16" s="160"/>
      <c r="AD16" s="161"/>
      <c r="AE16" s="159">
        <f t="shared" ca="1" si="6"/>
        <v>25</v>
      </c>
      <c r="AF16" s="160"/>
      <c r="AG16" s="160"/>
      <c r="AH16" s="161"/>
      <c r="AI16" s="165">
        <f t="shared" ca="1" si="7"/>
        <v>0</v>
      </c>
      <c r="AJ16" s="166"/>
      <c r="AK16" s="166"/>
      <c r="AL16" s="167"/>
    </row>
    <row r="17" spans="1:38" s="4" customFormat="1">
      <c r="B17" s="162">
        <v>8</v>
      </c>
      <c r="C17" s="164"/>
      <c r="D17" s="186" t="s">
        <v>272</v>
      </c>
      <c r="E17" s="187"/>
      <c r="F17" s="187"/>
      <c r="G17" s="187"/>
      <c r="H17" s="187"/>
      <c r="I17" s="187"/>
      <c r="J17" s="188"/>
      <c r="K17" s="159">
        <f t="shared" ca="1" si="0"/>
        <v>2</v>
      </c>
      <c r="L17" s="160"/>
      <c r="M17" s="160"/>
      <c r="N17" s="161"/>
      <c r="O17" s="162">
        <f t="shared" ca="1" si="1"/>
        <v>0</v>
      </c>
      <c r="P17" s="163"/>
      <c r="Q17" s="164"/>
      <c r="R17" s="162">
        <f t="shared" ca="1" si="2"/>
        <v>0</v>
      </c>
      <c r="S17" s="163"/>
      <c r="T17" s="164"/>
      <c r="U17" s="162">
        <f t="shared" ca="1" si="3"/>
        <v>0</v>
      </c>
      <c r="V17" s="163"/>
      <c r="W17" s="164"/>
      <c r="X17" s="162">
        <f t="shared" ca="1" si="4"/>
        <v>0</v>
      </c>
      <c r="Y17" s="163"/>
      <c r="Z17" s="164"/>
      <c r="AA17" s="159">
        <f t="shared" ca="1" si="5"/>
        <v>0</v>
      </c>
      <c r="AB17" s="160"/>
      <c r="AC17" s="160"/>
      <c r="AD17" s="161"/>
      <c r="AE17" s="159">
        <f t="shared" ca="1" si="6"/>
        <v>2</v>
      </c>
      <c r="AF17" s="160"/>
      <c r="AG17" s="160"/>
      <c r="AH17" s="161"/>
      <c r="AI17" s="165">
        <f t="shared" ca="1" si="7"/>
        <v>0</v>
      </c>
      <c r="AJ17" s="166"/>
      <c r="AK17" s="166"/>
      <c r="AL17" s="167"/>
    </row>
    <row r="18" spans="1:38" s="4" customFormat="1">
      <c r="B18" s="162">
        <v>9</v>
      </c>
      <c r="C18" s="164"/>
      <c r="D18" s="186" t="s">
        <v>271</v>
      </c>
      <c r="E18" s="187"/>
      <c r="F18" s="187"/>
      <c r="G18" s="187"/>
      <c r="H18" s="187"/>
      <c r="I18" s="187"/>
      <c r="J18" s="188"/>
      <c r="K18" s="159">
        <f t="shared" ca="1" si="0"/>
        <v>6</v>
      </c>
      <c r="L18" s="160"/>
      <c r="M18" s="160"/>
      <c r="N18" s="161"/>
      <c r="O18" s="162">
        <f t="shared" ca="1" si="1"/>
        <v>0</v>
      </c>
      <c r="P18" s="163"/>
      <c r="Q18" s="164"/>
      <c r="R18" s="162">
        <f t="shared" ca="1" si="2"/>
        <v>0</v>
      </c>
      <c r="S18" s="163"/>
      <c r="T18" s="164"/>
      <c r="U18" s="162">
        <f t="shared" ca="1" si="3"/>
        <v>0</v>
      </c>
      <c r="V18" s="163"/>
      <c r="W18" s="164"/>
      <c r="X18" s="162">
        <f t="shared" ca="1" si="4"/>
        <v>0</v>
      </c>
      <c r="Y18" s="163"/>
      <c r="Z18" s="164"/>
      <c r="AA18" s="159">
        <f t="shared" ca="1" si="5"/>
        <v>0</v>
      </c>
      <c r="AB18" s="160"/>
      <c r="AC18" s="160"/>
      <c r="AD18" s="161"/>
      <c r="AE18" s="159">
        <f t="shared" ca="1" si="6"/>
        <v>6</v>
      </c>
      <c r="AF18" s="160"/>
      <c r="AG18" s="160"/>
      <c r="AH18" s="161"/>
      <c r="AI18" s="165">
        <f t="shared" ca="1" si="7"/>
        <v>0</v>
      </c>
      <c r="AJ18" s="166"/>
      <c r="AK18" s="166"/>
      <c r="AL18" s="167"/>
    </row>
    <row r="19" spans="1:38" s="4" customFormat="1">
      <c r="B19" s="162">
        <v>10</v>
      </c>
      <c r="C19" s="164"/>
      <c r="D19" s="186" t="s">
        <v>273</v>
      </c>
      <c r="E19" s="187"/>
      <c r="F19" s="187"/>
      <c r="G19" s="187"/>
      <c r="H19" s="187"/>
      <c r="I19" s="187"/>
      <c r="J19" s="188"/>
      <c r="K19" s="159">
        <f t="shared" ca="1" si="0"/>
        <v>2</v>
      </c>
      <c r="L19" s="160"/>
      <c r="M19" s="160"/>
      <c r="N19" s="161"/>
      <c r="O19" s="162">
        <f t="shared" ca="1" si="1"/>
        <v>0</v>
      </c>
      <c r="P19" s="163"/>
      <c r="Q19" s="164"/>
      <c r="R19" s="162">
        <f t="shared" ca="1" si="2"/>
        <v>0</v>
      </c>
      <c r="S19" s="163"/>
      <c r="T19" s="164"/>
      <c r="U19" s="162">
        <f t="shared" ca="1" si="3"/>
        <v>0</v>
      </c>
      <c r="V19" s="163"/>
      <c r="W19" s="164"/>
      <c r="X19" s="162">
        <f t="shared" ca="1" si="4"/>
        <v>0</v>
      </c>
      <c r="Y19" s="163"/>
      <c r="Z19" s="164"/>
      <c r="AA19" s="159">
        <f t="shared" ca="1" si="5"/>
        <v>0</v>
      </c>
      <c r="AB19" s="160"/>
      <c r="AC19" s="160"/>
      <c r="AD19" s="161"/>
      <c r="AE19" s="159">
        <f t="shared" ca="1" si="6"/>
        <v>2</v>
      </c>
      <c r="AF19" s="160"/>
      <c r="AG19" s="160"/>
      <c r="AH19" s="161"/>
      <c r="AI19" s="165">
        <f t="shared" ca="1" si="7"/>
        <v>0</v>
      </c>
      <c r="AJ19" s="166"/>
      <c r="AK19" s="166"/>
      <c r="AL19" s="167"/>
    </row>
    <row r="20" spans="1:38" s="4" customFormat="1">
      <c r="B20" s="162">
        <v>11</v>
      </c>
      <c r="C20" s="164"/>
      <c r="D20" s="186" t="s">
        <v>311</v>
      </c>
      <c r="E20" s="187"/>
      <c r="F20" s="187"/>
      <c r="G20" s="187"/>
      <c r="H20" s="187"/>
      <c r="I20" s="187"/>
      <c r="J20" s="188"/>
      <c r="K20" s="159">
        <f ca="1">IF($D20="",0,MAX(INDIRECT("'"&amp;$D20&amp;"'!$H3:$AZ3")))</f>
        <v>7</v>
      </c>
      <c r="L20" s="160"/>
      <c r="M20" s="160"/>
      <c r="N20" s="161"/>
      <c r="O20" s="162">
        <f ca="1">IF($D20="","",COUNTIF(INDIRECT("'"&amp;$D20&amp;"'!$H"&amp;ROW(INDIRECT("'"&amp;$D20&amp;"'!TestResult"))&amp;":$AZ"&amp;ROW(INDIRECT("'"&amp;$D20&amp;"'!TestResult"))),O$9))</f>
        <v>0</v>
      </c>
      <c r="P20" s="163"/>
      <c r="Q20" s="164"/>
      <c r="R20" s="162">
        <f ca="1">IF($D20="","",COUNTIF(INDIRECT("'"&amp;$D20&amp;"'!$H"&amp;ROW(INDIRECT("'"&amp;$D20&amp;"'!TestResult"))&amp;":$AZ"&amp;ROW(INDIRECT("'"&amp;$D20&amp;"'!TestResult"))),R$9))</f>
        <v>0</v>
      </c>
      <c r="S20" s="163"/>
      <c r="T20" s="164"/>
      <c r="U20" s="162">
        <f ca="1">IF($D20="","",COUNTIF(INDIRECT("'"&amp;$D20&amp;"'!$H"&amp;ROW(INDIRECT("'"&amp;$D20&amp;"'!TestResult"))&amp;":$AZ"&amp;ROW(INDIRECT("'"&amp;$D20&amp;"'!TestResult"))),U$9))</f>
        <v>0</v>
      </c>
      <c r="V20" s="163"/>
      <c r="W20" s="164"/>
      <c r="X20" s="162">
        <f ca="1">IF($D20="","",COUNTIF(INDIRECT("'"&amp;$D20&amp;"'!$H"&amp;ROW(INDIRECT("'"&amp;$D20&amp;"'!TestResult"))&amp;":$AZ"&amp;ROW(INDIRECT("'"&amp;$D20&amp;"'!TestResult"))),X$9))</f>
        <v>0</v>
      </c>
      <c r="Y20" s="163"/>
      <c r="Z20" s="164"/>
      <c r="AA20" s="159">
        <f ca="1">SUM(O20:Z20)</f>
        <v>0</v>
      </c>
      <c r="AB20" s="160"/>
      <c r="AC20" s="160"/>
      <c r="AD20" s="161"/>
      <c r="AE20" s="159">
        <f ca="1">K20-AA20</f>
        <v>7</v>
      </c>
      <c r="AF20" s="160"/>
      <c r="AG20" s="160"/>
      <c r="AH20" s="161"/>
      <c r="AI20" s="165">
        <f ca="1">IF($D20="","",SUM(INDIRECT("'"&amp;$D20&amp;"'!BugCount")))</f>
        <v>0</v>
      </c>
      <c r="AJ20" s="166"/>
      <c r="AK20" s="166"/>
      <c r="AL20" s="167"/>
    </row>
    <row r="21" spans="1:38" s="4" customFormat="1">
      <c r="B21" s="162">
        <v>12</v>
      </c>
      <c r="C21" s="164"/>
      <c r="D21" s="186" t="s">
        <v>324</v>
      </c>
      <c r="E21" s="187"/>
      <c r="F21" s="187"/>
      <c r="G21" s="187"/>
      <c r="H21" s="187"/>
      <c r="I21" s="187"/>
      <c r="J21" s="188"/>
      <c r="K21" s="159">
        <f ca="1">IF($D21="",0,MAX(INDIRECT("'"&amp;$D21&amp;"'!$H3:$AZ3")))</f>
        <v>2</v>
      </c>
      <c r="L21" s="160"/>
      <c r="M21" s="160"/>
      <c r="N21" s="161"/>
      <c r="O21" s="162">
        <f ca="1">IF($D21="","",COUNTIF(INDIRECT("'"&amp;$D21&amp;"'!$H"&amp;ROW(INDIRECT("'"&amp;$D21&amp;"'!TestResult"))&amp;":$AZ"&amp;ROW(INDIRECT("'"&amp;$D21&amp;"'!TestResult"))),O$9))</f>
        <v>0</v>
      </c>
      <c r="P21" s="163"/>
      <c r="Q21" s="164"/>
      <c r="R21" s="162">
        <f ca="1">IF($D21="","",COUNTIF(INDIRECT("'"&amp;$D21&amp;"'!$H"&amp;ROW(INDIRECT("'"&amp;$D21&amp;"'!TestResult"))&amp;":$AZ"&amp;ROW(INDIRECT("'"&amp;$D21&amp;"'!TestResult"))),R$9))</f>
        <v>0</v>
      </c>
      <c r="S21" s="163"/>
      <c r="T21" s="164"/>
      <c r="U21" s="162">
        <f ca="1">IF($D21="","",COUNTIF(INDIRECT("'"&amp;$D21&amp;"'!$H"&amp;ROW(INDIRECT("'"&amp;$D21&amp;"'!TestResult"))&amp;":$AZ"&amp;ROW(INDIRECT("'"&amp;$D21&amp;"'!TestResult"))),U$9))</f>
        <v>0</v>
      </c>
      <c r="V21" s="163"/>
      <c r="W21" s="164"/>
      <c r="X21" s="162">
        <f ca="1">IF($D21="","",COUNTIF(INDIRECT("'"&amp;$D21&amp;"'!$H"&amp;ROW(INDIRECT("'"&amp;$D21&amp;"'!TestResult"))&amp;":$AZ"&amp;ROW(INDIRECT("'"&amp;$D21&amp;"'!TestResult"))),X$9))</f>
        <v>0</v>
      </c>
      <c r="Y21" s="163"/>
      <c r="Z21" s="164"/>
      <c r="AA21" s="159">
        <f ca="1">SUM(O21:Z21)</f>
        <v>0</v>
      </c>
      <c r="AB21" s="160"/>
      <c r="AC21" s="160"/>
      <c r="AD21" s="161"/>
      <c r="AE21" s="159">
        <f ca="1">K21-AA21</f>
        <v>2</v>
      </c>
      <c r="AF21" s="160"/>
      <c r="AG21" s="160"/>
      <c r="AH21" s="161"/>
      <c r="AI21" s="165">
        <f ca="1">IF($D21="","",SUM(INDIRECT("'"&amp;$D21&amp;"'!BugCount")))</f>
        <v>0</v>
      </c>
      <c r="AJ21" s="166"/>
      <c r="AK21" s="166"/>
      <c r="AL21" s="167"/>
    </row>
    <row r="22" spans="1:38" s="8" customFormat="1" ht="20.25">
      <c r="B22" s="5"/>
      <c r="C22" s="5"/>
      <c r="D22" s="6"/>
      <c r="E22" s="52"/>
      <c r="F22" s="52"/>
      <c r="G22" s="52"/>
      <c r="H22" s="52"/>
      <c r="I22" s="52"/>
      <c r="J22" s="52"/>
      <c r="K22" s="7"/>
      <c r="L22" s="7"/>
      <c r="M22" s="7"/>
      <c r="N22" s="7"/>
      <c r="O22" s="5"/>
      <c r="P22" s="5"/>
      <c r="Q22" s="5"/>
      <c r="R22" s="5"/>
      <c r="S22" s="5"/>
      <c r="T22" s="5"/>
      <c r="U22" s="5"/>
      <c r="V22" s="5"/>
      <c r="W22" s="5"/>
      <c r="X22" s="5"/>
      <c r="Y22" s="5"/>
      <c r="Z22" s="5"/>
      <c r="AA22" s="5"/>
      <c r="AB22" s="5"/>
      <c r="AC22" s="5"/>
      <c r="AD22" s="5"/>
      <c r="AE22" s="5"/>
      <c r="AF22" s="7"/>
      <c r="AG22" s="7"/>
      <c r="AH22" s="7"/>
      <c r="AI22" s="7"/>
      <c r="AJ22" s="7"/>
      <c r="AK22" s="7"/>
      <c r="AL22" s="7"/>
    </row>
    <row r="23" spans="1:38" s="4" customFormat="1">
      <c r="A23" s="4" t="s">
        <v>42</v>
      </c>
      <c r="B23" s="180" t="s">
        <v>2</v>
      </c>
      <c r="C23" s="181"/>
      <c r="D23" s="181"/>
      <c r="E23" s="181"/>
      <c r="F23" s="181"/>
      <c r="G23" s="181"/>
      <c r="H23" s="181"/>
      <c r="I23" s="181"/>
      <c r="J23" s="182"/>
      <c r="K23" s="174">
        <f ca="1">SUBTOTAL(9,K9:K22)</f>
        <v>70</v>
      </c>
      <c r="L23" s="175"/>
      <c r="M23" s="175"/>
      <c r="N23" s="176"/>
      <c r="O23" s="171">
        <f ca="1">SUBTOTAL(9,O9:O22)</f>
        <v>0</v>
      </c>
      <c r="P23" s="172"/>
      <c r="Q23" s="173"/>
      <c r="R23" s="171">
        <f ca="1">SUBTOTAL(9,R9:R22)</f>
        <v>0</v>
      </c>
      <c r="S23" s="172"/>
      <c r="T23" s="173"/>
      <c r="U23" s="171">
        <f ca="1">SUBTOTAL(9,U9:U22)</f>
        <v>0</v>
      </c>
      <c r="V23" s="172"/>
      <c r="W23" s="173"/>
      <c r="X23" s="171">
        <f ca="1">SUBTOTAL(9,X9:X22)</f>
        <v>0</v>
      </c>
      <c r="Y23" s="172"/>
      <c r="Z23" s="173"/>
      <c r="AA23" s="171">
        <f ca="1">SUBTOTAL(9,AA9:AA22)</f>
        <v>0</v>
      </c>
      <c r="AB23" s="172"/>
      <c r="AC23" s="172"/>
      <c r="AD23" s="173"/>
      <c r="AE23" s="171">
        <f ca="1">SUBTOTAL(9,AE9:AE22)</f>
        <v>70</v>
      </c>
      <c r="AF23" s="172"/>
      <c r="AG23" s="172"/>
      <c r="AH23" s="173"/>
      <c r="AI23" s="174">
        <f ca="1">SUBTOTAL(9,AI9:AI22)</f>
        <v>0</v>
      </c>
      <c r="AJ23" s="175"/>
      <c r="AK23" s="175"/>
      <c r="AL23" s="176"/>
    </row>
    <row r="24" spans="1:38" s="4" customFormat="1" ht="12.75" customHeight="1">
      <c r="B24" s="180" t="s">
        <v>3</v>
      </c>
      <c r="C24" s="181"/>
      <c r="D24" s="181"/>
      <c r="E24" s="181"/>
      <c r="F24" s="181"/>
      <c r="G24" s="181"/>
      <c r="H24" s="181"/>
      <c r="I24" s="181"/>
      <c r="J24" s="182"/>
      <c r="K24" s="177"/>
      <c r="L24" s="178"/>
      <c r="M24" s="178"/>
      <c r="N24" s="179"/>
      <c r="O24" s="168">
        <f ca="1">IF(ISERR(O23/$K$23),0,O23/$K$23)</f>
        <v>0</v>
      </c>
      <c r="P24" s="169"/>
      <c r="Q24" s="170"/>
      <c r="R24" s="168">
        <f ca="1">IF(ISERR(R23/$K$23),0,R23/$K$23)</f>
        <v>0</v>
      </c>
      <c r="S24" s="169"/>
      <c r="T24" s="170"/>
      <c r="U24" s="168">
        <f ca="1">IF(ISERR(U23/$K$23),0,U23/$K$23)</f>
        <v>0</v>
      </c>
      <c r="V24" s="169"/>
      <c r="W24" s="170"/>
      <c r="X24" s="168">
        <f ca="1">IF(ISERR(X23/$K$23),0,X23/$K$23)</f>
        <v>0</v>
      </c>
      <c r="Y24" s="169"/>
      <c r="Z24" s="170"/>
      <c r="AA24" s="168">
        <f ca="1">IF(ISERR(AA23/$K$23),0,AA23/$K$23)</f>
        <v>0</v>
      </c>
      <c r="AB24" s="169"/>
      <c r="AC24" s="169"/>
      <c r="AD24" s="170"/>
      <c r="AE24" s="168">
        <f ca="1">IF(ISERR(AE23/$K$23),0,AE23/$K$23)</f>
        <v>1</v>
      </c>
      <c r="AF24" s="169"/>
      <c r="AG24" s="169"/>
      <c r="AH24" s="170"/>
      <c r="AI24" s="177"/>
      <c r="AJ24" s="178"/>
      <c r="AK24" s="178"/>
      <c r="AL24" s="179"/>
    </row>
    <row r="40" spans="2:15" ht="15" customHeight="1">
      <c r="B40" s="189" t="s">
        <v>49</v>
      </c>
      <c r="C40" s="189"/>
      <c r="D40" s="189"/>
      <c r="E40" s="189"/>
      <c r="F40" s="189"/>
      <c r="G40" s="189"/>
      <c r="H40" s="189"/>
      <c r="I40" s="189"/>
      <c r="J40" s="189"/>
      <c r="K40" s="189"/>
      <c r="L40" s="189"/>
      <c r="M40" s="189"/>
      <c r="N40" s="189"/>
      <c r="O40" s="189"/>
    </row>
    <row r="41" spans="2:15">
      <c r="B41" s="189"/>
      <c r="C41" s="189"/>
      <c r="D41" s="189"/>
      <c r="E41" s="189"/>
      <c r="F41" s="189"/>
      <c r="G41" s="189"/>
      <c r="H41" s="189"/>
      <c r="I41" s="189"/>
      <c r="J41" s="189"/>
      <c r="K41" s="189"/>
      <c r="L41" s="189"/>
      <c r="M41" s="189"/>
      <c r="N41" s="189"/>
      <c r="O41" s="189"/>
    </row>
  </sheetData>
  <sheetProtection autoFilter="0"/>
  <autoFilter ref="B9:AL9">
    <filterColumn colId="0" showButton="0"/>
    <filterColumn colId="2" showButton="0"/>
    <filterColumn colId="3" showButton="0"/>
    <filterColumn colId="4" showButton="0"/>
    <filterColumn colId="5" showButton="0"/>
    <filterColumn colId="6" showButton="0"/>
    <filterColumn colId="7" showButton="0"/>
    <filterColumn colId="9" showButton="0"/>
    <filterColumn colId="10" showButton="0"/>
    <filterColumn colId="11" showButton="0"/>
    <filterColumn colId="13" showButton="0"/>
    <filterColumn colId="14" showButton="0"/>
    <filterColumn colId="16" showButton="0"/>
    <filterColumn colId="17" showButton="0"/>
    <filterColumn colId="19" showButton="0"/>
    <filterColumn colId="20" showButton="0"/>
    <filterColumn colId="22" showButton="0"/>
    <filterColumn colId="23" showButton="0"/>
    <filterColumn colId="25" showButton="0"/>
    <filterColumn colId="26" showButton="0"/>
    <filterColumn colId="27" showButton="0"/>
    <filterColumn colId="29" showButton="0"/>
    <filterColumn colId="30" showButton="0"/>
    <filterColumn colId="31" showButton="0"/>
    <filterColumn colId="33" showButton="0"/>
    <filterColumn colId="34" showButton="0"/>
    <filterColumn colId="35" showButton="0"/>
  </autoFilter>
  <dataConsolidate function="average"/>
  <mergeCells count="165">
    <mergeCell ref="U21:W21"/>
    <mergeCell ref="X21:Z21"/>
    <mergeCell ref="AA21:AD21"/>
    <mergeCell ref="AE21:AH21"/>
    <mergeCell ref="AI21:AL21"/>
    <mergeCell ref="AE20:AH20"/>
    <mergeCell ref="AI20:AL20"/>
    <mergeCell ref="B8:C8"/>
    <mergeCell ref="D8:J8"/>
    <mergeCell ref="AI9:AL9"/>
    <mergeCell ref="K10:N10"/>
    <mergeCell ref="R10:T10"/>
    <mergeCell ref="AA10:AD10"/>
    <mergeCell ref="AI8:AL8"/>
    <mergeCell ref="K8:N8"/>
    <mergeCell ref="AA9:AD9"/>
    <mergeCell ref="AA8:AD8"/>
    <mergeCell ref="O8:Z8"/>
    <mergeCell ref="X9:Z9"/>
    <mergeCell ref="R9:T9"/>
    <mergeCell ref="U9:W9"/>
    <mergeCell ref="AE8:AH8"/>
    <mergeCell ref="AE9:AH9"/>
    <mergeCell ref="K13:N13"/>
    <mergeCell ref="B40:O41"/>
    <mergeCell ref="U24:W24"/>
    <mergeCell ref="AE3:AH3"/>
    <mergeCell ref="AI3:AL3"/>
    <mergeCell ref="B3:C3"/>
    <mergeCell ref="D3:J3"/>
    <mergeCell ref="K3:N3"/>
    <mergeCell ref="O3:Q3"/>
    <mergeCell ref="R3:T3"/>
    <mergeCell ref="U3:W3"/>
    <mergeCell ref="X3:Z3"/>
    <mergeCell ref="AA3:AD3"/>
    <mergeCell ref="B6:AL6"/>
    <mergeCell ref="AI10:AL10"/>
    <mergeCell ref="O9:Q9"/>
    <mergeCell ref="K9:N9"/>
    <mergeCell ref="AI11:AL11"/>
    <mergeCell ref="B11:C11"/>
    <mergeCell ref="D11:J11"/>
    <mergeCell ref="X24:Z24"/>
    <mergeCell ref="X10:Z10"/>
    <mergeCell ref="X23:Z23"/>
    <mergeCell ref="U10:W10"/>
    <mergeCell ref="U23:W23"/>
    <mergeCell ref="K21:N21"/>
    <mergeCell ref="O21:Q21"/>
    <mergeCell ref="R21:T21"/>
    <mergeCell ref="B23:J23"/>
    <mergeCell ref="K23:N24"/>
    <mergeCell ref="O10:Q10"/>
    <mergeCell ref="O23:Q23"/>
    <mergeCell ref="O24:Q24"/>
    <mergeCell ref="R24:T24"/>
    <mergeCell ref="K11:N11"/>
    <mergeCell ref="O11:Q11"/>
    <mergeCell ref="R11:T11"/>
    <mergeCell ref="U11:W11"/>
    <mergeCell ref="D20:J20"/>
    <mergeCell ref="K20:N20"/>
    <mergeCell ref="O20:Q20"/>
    <mergeCell ref="R20:T20"/>
    <mergeCell ref="U20:W20"/>
    <mergeCell ref="B24:J24"/>
    <mergeCell ref="B10:C10"/>
    <mergeCell ref="B9:C9"/>
    <mergeCell ref="D9:J9"/>
    <mergeCell ref="B12:C12"/>
    <mergeCell ref="D12:J12"/>
    <mergeCell ref="B14:C14"/>
    <mergeCell ref="D14:J14"/>
    <mergeCell ref="B16:C16"/>
    <mergeCell ref="D16:J16"/>
    <mergeCell ref="B18:C18"/>
    <mergeCell ref="D18:J18"/>
    <mergeCell ref="B20:C20"/>
    <mergeCell ref="B21:C21"/>
    <mergeCell ref="B13:C13"/>
    <mergeCell ref="D13:J13"/>
    <mergeCell ref="B15:C15"/>
    <mergeCell ref="D15:J15"/>
    <mergeCell ref="B17:C17"/>
    <mergeCell ref="D17:J17"/>
    <mergeCell ref="B19:C19"/>
    <mergeCell ref="D19:J19"/>
    <mergeCell ref="D10:J10"/>
    <mergeCell ref="D21:J21"/>
    <mergeCell ref="AA24:AD24"/>
    <mergeCell ref="R23:T23"/>
    <mergeCell ref="AI23:AL24"/>
    <mergeCell ref="AE10:AH10"/>
    <mergeCell ref="AE23:AH23"/>
    <mergeCell ref="AE24:AH24"/>
    <mergeCell ref="X11:Z11"/>
    <mergeCell ref="AA11:AD11"/>
    <mergeCell ref="AE11:AH11"/>
    <mergeCell ref="AE12:AH12"/>
    <mergeCell ref="AI12:AL12"/>
    <mergeCell ref="AA14:AD14"/>
    <mergeCell ref="AE14:AH14"/>
    <mergeCell ref="AI14:AL14"/>
    <mergeCell ref="AA16:AD16"/>
    <mergeCell ref="AE16:AH16"/>
    <mergeCell ref="AI16:AL16"/>
    <mergeCell ref="AA18:AD18"/>
    <mergeCell ref="AE18:AH18"/>
    <mergeCell ref="AI18:AL18"/>
    <mergeCell ref="AA23:AD23"/>
    <mergeCell ref="AA12:AD12"/>
    <mergeCell ref="X20:Z20"/>
    <mergeCell ref="AA20:AD20"/>
    <mergeCell ref="O13:Q13"/>
    <mergeCell ref="R13:T13"/>
    <mergeCell ref="U13:W13"/>
    <mergeCell ref="X13:Z13"/>
    <mergeCell ref="AA13:AD13"/>
    <mergeCell ref="AE13:AH13"/>
    <mergeCell ref="AI13:AL13"/>
    <mergeCell ref="K12:N12"/>
    <mergeCell ref="O12:Q12"/>
    <mergeCell ref="R12:T12"/>
    <mergeCell ref="U12:W12"/>
    <mergeCell ref="X12:Z12"/>
    <mergeCell ref="K15:N15"/>
    <mergeCell ref="O15:Q15"/>
    <mergeCell ref="R15:T15"/>
    <mergeCell ref="U15:W15"/>
    <mergeCell ref="X15:Z15"/>
    <mergeCell ref="AA15:AD15"/>
    <mergeCell ref="AE15:AH15"/>
    <mergeCell ref="AI15:AL15"/>
    <mergeCell ref="K14:N14"/>
    <mergeCell ref="O14:Q14"/>
    <mergeCell ref="R14:T14"/>
    <mergeCell ref="U14:W14"/>
    <mergeCell ref="X14:Z14"/>
    <mergeCell ref="K17:N17"/>
    <mergeCell ref="O17:Q17"/>
    <mergeCell ref="R17:T17"/>
    <mergeCell ref="U17:W17"/>
    <mergeCell ref="X17:Z17"/>
    <mergeCell ref="AA17:AD17"/>
    <mergeCell ref="AE17:AH17"/>
    <mergeCell ref="AI17:AL17"/>
    <mergeCell ref="K16:N16"/>
    <mergeCell ref="O16:Q16"/>
    <mergeCell ref="R16:T16"/>
    <mergeCell ref="U16:W16"/>
    <mergeCell ref="X16:Z16"/>
    <mergeCell ref="K19:N19"/>
    <mergeCell ref="O19:Q19"/>
    <mergeCell ref="R19:T19"/>
    <mergeCell ref="U19:W19"/>
    <mergeCell ref="X19:Z19"/>
    <mergeCell ref="AA19:AD19"/>
    <mergeCell ref="AE19:AH19"/>
    <mergeCell ref="AI19:AL19"/>
    <mergeCell ref="K18:N18"/>
    <mergeCell ref="O18:Q18"/>
    <mergeCell ref="R18:T18"/>
    <mergeCell ref="U18:W18"/>
    <mergeCell ref="X18:Z18"/>
  </mergeCells>
  <phoneticPr fontId="3"/>
  <conditionalFormatting sqref="K22:AL22 K4:AL4 AI3:AL3 K3:AE3 AI10:AL21 K10:AE21">
    <cfRule type="cellIs" dxfId="104" priority="1" stopIfTrue="1" operator="lessThan">
      <formula>0</formula>
    </cfRule>
  </conditionalFormatting>
  <printOptions horizontalCentered="1"/>
  <pageMargins left="0.55118110236220474" right="0.46" top="0.98425196850393704" bottom="0.98425196850393704" header="0.51181102362204722" footer="0.51181102362204722"/>
  <pageSetup paperSize="9" scale="90"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legacyDrawing r:id="rId2"/>
</worksheet>
</file>

<file path=xl/worksheets/sheet2.xml><?xml version="1.0" encoding="utf-8"?>
<worksheet xmlns="http://schemas.openxmlformats.org/spreadsheetml/2006/main" xmlns:r="http://schemas.openxmlformats.org/officeDocument/2006/relationships">
  <sheetPr codeName="Sheet2"/>
  <dimension ref="A1:AF30"/>
  <sheetViews>
    <sheetView view="pageBreakPreview" zoomScale="85" zoomScaleNormal="70" workbookViewId="0">
      <pane xSplit="7" ySplit="3" topLeftCell="J7" activePane="bottomRight" state="frozen"/>
      <selection activeCell="A5" sqref="A5"/>
      <selection pane="topRight" activeCell="A5" sqref="A5"/>
      <selection pane="bottomLeft" activeCell="A5" sqref="A5"/>
      <selection pane="bottomRight" activeCell="B1" sqref="B1:E1"/>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5</v>
      </c>
      <c r="B1" s="240" t="s">
        <v>8</v>
      </c>
      <c r="C1" s="241"/>
      <c r="D1" s="241"/>
      <c r="E1" s="242"/>
      <c r="F1" s="240" t="s">
        <v>6</v>
      </c>
      <c r="G1" s="241"/>
      <c r="H1" s="241"/>
      <c r="I1" s="241"/>
      <c r="J1" s="241"/>
      <c r="K1" s="241"/>
      <c r="L1" s="241"/>
      <c r="M1" s="241"/>
      <c r="N1" s="241"/>
      <c r="O1" s="242"/>
      <c r="P1" s="249" t="s">
        <v>0</v>
      </c>
      <c r="Q1" s="250"/>
      <c r="R1" s="250"/>
      <c r="S1" s="251"/>
      <c r="T1" s="240" t="s">
        <v>9</v>
      </c>
      <c r="U1" s="241"/>
      <c r="V1" s="241"/>
      <c r="W1" s="241"/>
      <c r="X1" s="241"/>
      <c r="Y1" s="241"/>
      <c r="Z1" s="242"/>
      <c r="AA1" s="252" t="s">
        <v>10</v>
      </c>
      <c r="AB1" s="252"/>
      <c r="AC1" s="253"/>
      <c r="AD1" s="253"/>
      <c r="AE1" s="253"/>
      <c r="AF1" s="254"/>
    </row>
    <row r="2" spans="1:32" ht="20.100000000000001" customHeight="1" thickBot="1">
      <c r="A2" s="64" t="s">
        <v>4</v>
      </c>
      <c r="B2" s="243" t="s">
        <v>8</v>
      </c>
      <c r="C2" s="244"/>
      <c r="D2" s="244"/>
      <c r="E2" s="245"/>
      <c r="F2" s="243" t="s">
        <v>7</v>
      </c>
      <c r="G2" s="244"/>
      <c r="H2" s="245"/>
      <c r="I2" s="246" t="s">
        <v>11</v>
      </c>
      <c r="J2" s="247"/>
      <c r="K2" s="247"/>
      <c r="L2" s="247"/>
      <c r="M2" s="247"/>
      <c r="N2" s="247"/>
      <c r="O2" s="248"/>
      <c r="P2" s="243"/>
      <c r="Q2" s="244"/>
      <c r="R2" s="244"/>
      <c r="S2" s="244"/>
      <c r="T2" s="244"/>
      <c r="U2" s="244"/>
      <c r="V2" s="244"/>
      <c r="W2" s="244"/>
      <c r="X2" s="244"/>
      <c r="Y2" s="244"/>
      <c r="Z2" s="245"/>
      <c r="AA2" s="255" t="s">
        <v>12</v>
      </c>
      <c r="AB2" s="256"/>
      <c r="AC2" s="243" t="s">
        <v>13</v>
      </c>
      <c r="AD2" s="244"/>
      <c r="AE2" s="244"/>
      <c r="AF2" s="257"/>
    </row>
    <row r="3" spans="1:32" ht="37.5" customHeight="1" thickBot="1">
      <c r="A3" s="66" t="s">
        <v>43</v>
      </c>
      <c r="B3" s="10"/>
      <c r="C3" s="10"/>
      <c r="D3" s="10"/>
      <c r="E3" s="10"/>
      <c r="F3" s="10"/>
      <c r="G3" s="65" t="s">
        <v>44</v>
      </c>
      <c r="H3" s="11" t="str">
        <f>IF(COUNTA(H4:H24)&gt;0,1,"")</f>
        <v/>
      </c>
      <c r="I3" s="12" t="str">
        <f t="shared" ref="I3:AF3" si="0">IF(COUNTA(I4:I24)&gt;0,IF(H3&gt;0,H3+1,""),"")</f>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230" t="s">
        <v>21</v>
      </c>
      <c r="C4" s="230"/>
      <c r="D4" s="230"/>
      <c r="E4" s="230"/>
      <c r="F4" s="230"/>
      <c r="G4" s="230"/>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22</v>
      </c>
      <c r="C5" s="235"/>
      <c r="D5" s="235"/>
      <c r="E5" s="235"/>
      <c r="F5" s="235"/>
      <c r="G5" s="235"/>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233"/>
      <c r="B6" s="21"/>
      <c r="C6" s="236" t="s">
        <v>23</v>
      </c>
      <c r="D6" s="237"/>
      <c r="E6" s="237"/>
      <c r="F6" s="237"/>
      <c r="G6" s="237"/>
      <c r="H6" s="22"/>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233"/>
      <c r="B7" s="21"/>
      <c r="C7" s="238"/>
      <c r="D7" s="234"/>
      <c r="E7" s="237"/>
      <c r="F7" s="237"/>
      <c r="G7" s="237"/>
      <c r="H7" s="22"/>
      <c r="I7" s="23"/>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233"/>
      <c r="B8" s="21"/>
      <c r="C8" s="238"/>
      <c r="D8" s="234"/>
      <c r="E8" s="237"/>
      <c r="F8" s="237"/>
      <c r="G8" s="237"/>
      <c r="H8" s="22"/>
      <c r="I8" s="23"/>
      <c r="J8" s="23"/>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233"/>
      <c r="B9" s="21"/>
      <c r="C9" s="239" t="s">
        <v>24</v>
      </c>
      <c r="D9" s="237"/>
      <c r="E9" s="237"/>
      <c r="F9" s="237"/>
      <c r="G9" s="237"/>
      <c r="H9" s="22"/>
      <c r="I9" s="23"/>
      <c r="J9" s="23"/>
      <c r="K9" s="23"/>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233"/>
      <c r="B10" s="21"/>
      <c r="C10" s="238"/>
      <c r="D10" s="234"/>
      <c r="E10" s="237"/>
      <c r="F10" s="237"/>
      <c r="G10" s="237"/>
      <c r="H10" s="22"/>
      <c r="I10" s="23"/>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233"/>
      <c r="B11" s="21"/>
      <c r="C11" s="238"/>
      <c r="D11" s="234"/>
      <c r="E11" s="237"/>
      <c r="F11" s="237"/>
      <c r="G11" s="237"/>
      <c r="H11" s="22"/>
      <c r="I11" s="23"/>
      <c r="J11" s="23"/>
      <c r="K11" s="23"/>
      <c r="L11" s="23"/>
      <c r="M11" s="23"/>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233"/>
      <c r="B12" s="21"/>
      <c r="C12" s="234"/>
      <c r="D12" s="237"/>
      <c r="E12" s="237"/>
      <c r="F12" s="237"/>
      <c r="G12" s="237"/>
      <c r="H12" s="22"/>
      <c r="I12" s="23"/>
      <c r="J12" s="23"/>
      <c r="K12" s="62"/>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233"/>
      <c r="B13" s="21"/>
      <c r="C13" s="238"/>
      <c r="D13" s="234"/>
      <c r="E13" s="237"/>
      <c r="F13" s="237"/>
      <c r="G13" s="237"/>
      <c r="H13" s="22"/>
      <c r="I13" s="23"/>
      <c r="J13" s="23"/>
      <c r="K13" s="62"/>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thickBot="1">
      <c r="A14" s="233"/>
      <c r="B14" s="21"/>
      <c r="C14" s="238"/>
      <c r="D14" s="234"/>
      <c r="E14" s="237"/>
      <c r="F14" s="237"/>
      <c r="G14" s="237"/>
      <c r="H14" s="22"/>
      <c r="I14" s="23"/>
      <c r="J14" s="23"/>
      <c r="K14" s="62"/>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226" t="s">
        <v>46</v>
      </c>
      <c r="B15" s="229" t="s">
        <v>25</v>
      </c>
      <c r="C15" s="230"/>
      <c r="D15" s="230"/>
      <c r="E15" s="230"/>
      <c r="F15" s="230"/>
      <c r="G15" s="230"/>
      <c r="H15" s="25"/>
      <c r="I15" s="26"/>
      <c r="J15" s="26"/>
      <c r="K15" s="68"/>
      <c r="L15" s="26"/>
      <c r="M15" s="26"/>
      <c r="N15" s="26"/>
      <c r="O15" s="26"/>
      <c r="P15" s="26"/>
      <c r="Q15" s="26"/>
      <c r="R15" s="26"/>
      <c r="S15" s="26"/>
      <c r="T15" s="26"/>
      <c r="U15" s="26"/>
      <c r="V15" s="26"/>
      <c r="W15" s="26"/>
      <c r="X15" s="26"/>
      <c r="Y15" s="26"/>
      <c r="Z15" s="26"/>
      <c r="AA15" s="26"/>
      <c r="AB15" s="26"/>
      <c r="AC15" s="26"/>
      <c r="AD15" s="26"/>
      <c r="AE15" s="26"/>
      <c r="AF15" s="27"/>
    </row>
    <row r="16" spans="1:32" s="17" customFormat="1" ht="13.5" customHeight="1">
      <c r="A16" s="227"/>
      <c r="B16" s="28"/>
      <c r="C16" s="216" t="s">
        <v>26</v>
      </c>
      <c r="D16" s="217"/>
      <c r="E16" s="217"/>
      <c r="F16" s="217"/>
      <c r="G16" s="217"/>
      <c r="H16" s="22"/>
      <c r="I16" s="23"/>
      <c r="J16" s="23"/>
      <c r="K16" s="62"/>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227"/>
      <c r="B17" s="231"/>
      <c r="C17" s="216" t="s">
        <v>27</v>
      </c>
      <c r="D17" s="217"/>
      <c r="E17" s="217"/>
      <c r="F17" s="217"/>
      <c r="G17" s="217"/>
      <c r="H17" s="22"/>
      <c r="I17" s="23"/>
      <c r="J17" s="23"/>
      <c r="K17" s="62"/>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227"/>
      <c r="B18" s="231"/>
      <c r="C18" s="216" t="s">
        <v>28</v>
      </c>
      <c r="D18" s="217"/>
      <c r="E18" s="217"/>
      <c r="F18" s="217"/>
      <c r="G18" s="217"/>
      <c r="H18" s="22"/>
      <c r="I18" s="23"/>
      <c r="J18" s="23"/>
      <c r="K18" s="62"/>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227"/>
      <c r="B19" s="231"/>
      <c r="C19" s="216" t="s">
        <v>29</v>
      </c>
      <c r="D19" s="217"/>
      <c r="E19" s="217"/>
      <c r="F19" s="217"/>
      <c r="G19" s="217"/>
      <c r="H19" s="22"/>
      <c r="I19" s="23"/>
      <c r="J19" s="23"/>
      <c r="K19" s="62"/>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227"/>
      <c r="B20" s="231"/>
      <c r="C20" s="216"/>
      <c r="D20" s="217"/>
      <c r="E20" s="217"/>
      <c r="F20" s="217"/>
      <c r="G20" s="217"/>
      <c r="H20" s="29"/>
      <c r="I20" s="30"/>
      <c r="J20" s="30"/>
      <c r="K20" s="69"/>
      <c r="L20" s="30"/>
      <c r="M20" s="30"/>
      <c r="N20" s="30"/>
      <c r="O20" s="30"/>
      <c r="P20" s="30"/>
      <c r="Q20" s="30"/>
      <c r="R20" s="30"/>
      <c r="S20" s="30"/>
      <c r="T20" s="30"/>
      <c r="U20" s="30"/>
      <c r="V20" s="30"/>
      <c r="W20" s="30"/>
      <c r="X20" s="30"/>
      <c r="Y20" s="30"/>
      <c r="Z20" s="30"/>
      <c r="AA20" s="30"/>
      <c r="AB20" s="30"/>
      <c r="AC20" s="30"/>
      <c r="AD20" s="30"/>
      <c r="AE20" s="30"/>
      <c r="AF20" s="31"/>
    </row>
    <row r="21" spans="1:32" s="17" customFormat="1" ht="13.5" customHeight="1">
      <c r="A21" s="227"/>
      <c r="B21" s="231"/>
      <c r="C21" s="216"/>
      <c r="D21" s="217"/>
      <c r="E21" s="217"/>
      <c r="F21" s="217"/>
      <c r="G21" s="217"/>
      <c r="H21" s="29"/>
      <c r="I21" s="30"/>
      <c r="J21" s="30"/>
      <c r="K21" s="69"/>
      <c r="L21" s="30"/>
      <c r="M21" s="30"/>
      <c r="N21" s="30"/>
      <c r="O21" s="30"/>
      <c r="P21" s="30"/>
      <c r="Q21" s="30"/>
      <c r="R21" s="30"/>
      <c r="S21" s="30"/>
      <c r="T21" s="30"/>
      <c r="U21" s="30"/>
      <c r="V21" s="30"/>
      <c r="W21" s="30"/>
      <c r="X21" s="30"/>
      <c r="Y21" s="30"/>
      <c r="Z21" s="30"/>
      <c r="AA21" s="30"/>
      <c r="AB21" s="30"/>
      <c r="AC21" s="30"/>
      <c r="AD21" s="30"/>
      <c r="AE21" s="30"/>
      <c r="AF21" s="31"/>
    </row>
    <row r="22" spans="1:32" s="17" customFormat="1" ht="13.5" customHeight="1">
      <c r="A22" s="227"/>
      <c r="B22" s="231"/>
      <c r="C22" s="216"/>
      <c r="D22" s="217"/>
      <c r="E22" s="217"/>
      <c r="F22" s="217"/>
      <c r="G22" s="217"/>
      <c r="H22" s="29"/>
      <c r="I22" s="30"/>
      <c r="J22" s="30"/>
      <c r="K22" s="69"/>
      <c r="L22" s="30"/>
      <c r="M22" s="30"/>
      <c r="N22" s="30"/>
      <c r="O22" s="30"/>
      <c r="P22" s="30"/>
      <c r="Q22" s="30"/>
      <c r="R22" s="30"/>
      <c r="S22" s="30"/>
      <c r="T22" s="30"/>
      <c r="U22" s="30"/>
      <c r="V22" s="30"/>
      <c r="W22" s="30"/>
      <c r="X22" s="30"/>
      <c r="Y22" s="30"/>
      <c r="Z22" s="30"/>
      <c r="AA22" s="30"/>
      <c r="AB22" s="30"/>
      <c r="AC22" s="30"/>
      <c r="AD22" s="30"/>
      <c r="AE22" s="30"/>
      <c r="AF22" s="31"/>
    </row>
    <row r="23" spans="1:32" s="17" customFormat="1" ht="15" customHeight="1" thickBot="1">
      <c r="A23" s="228"/>
      <c r="B23" s="231"/>
      <c r="C23" s="214"/>
      <c r="D23" s="215"/>
      <c r="E23" s="215"/>
      <c r="F23" s="215"/>
      <c r="G23" s="215"/>
      <c r="H23" s="32"/>
      <c r="I23" s="33"/>
      <c r="J23" s="33"/>
      <c r="K23" s="71"/>
      <c r="L23" s="33"/>
      <c r="M23" s="33"/>
      <c r="N23" s="33"/>
      <c r="O23" s="33"/>
      <c r="P23" s="33"/>
      <c r="Q23" s="33"/>
      <c r="R23" s="33"/>
      <c r="S23" s="33"/>
      <c r="T23" s="33"/>
      <c r="U23" s="33"/>
      <c r="V23" s="33"/>
      <c r="W23" s="33"/>
      <c r="X23" s="33"/>
      <c r="Y23" s="33"/>
      <c r="Z23" s="33"/>
      <c r="AA23" s="33"/>
      <c r="AB23" s="33"/>
      <c r="AC23" s="33"/>
      <c r="AD23" s="33"/>
      <c r="AE23" s="33"/>
      <c r="AF23" s="34"/>
    </row>
    <row r="24" spans="1:32" s="17" customFormat="1" ht="24" customHeight="1">
      <c r="A24" s="218" t="s">
        <v>47</v>
      </c>
      <c r="B24" s="220"/>
      <c r="C24" s="221"/>
      <c r="D24" s="221"/>
      <c r="E24" s="221"/>
      <c r="F24" s="222"/>
      <c r="G24" s="35" t="s">
        <v>36</v>
      </c>
      <c r="H24" s="36"/>
      <c r="I24" s="37"/>
      <c r="J24" s="37"/>
      <c r="K24" s="37"/>
      <c r="L24" s="37"/>
      <c r="M24" s="37"/>
      <c r="N24" s="37"/>
      <c r="O24" s="37"/>
      <c r="P24" s="37"/>
      <c r="Q24" s="37"/>
      <c r="R24" s="37"/>
      <c r="S24" s="37"/>
      <c r="T24" s="37"/>
      <c r="U24" s="37"/>
      <c r="V24" s="37"/>
      <c r="W24" s="37"/>
      <c r="X24" s="37"/>
      <c r="Y24" s="37"/>
      <c r="Z24" s="37"/>
      <c r="AA24" s="37"/>
      <c r="AB24" s="37"/>
      <c r="AC24" s="37"/>
      <c r="AD24" s="37"/>
      <c r="AE24" s="37"/>
      <c r="AF24" s="38"/>
    </row>
    <row r="25" spans="1:32" s="17" customFormat="1" ht="27" customHeight="1">
      <c r="A25" s="219"/>
      <c r="B25" s="223"/>
      <c r="C25" s="224"/>
      <c r="D25" s="224"/>
      <c r="E25" s="224"/>
      <c r="F25" s="225"/>
      <c r="G25" s="39" t="s">
        <v>37</v>
      </c>
      <c r="H25" s="40"/>
      <c r="I25" s="41"/>
      <c r="J25" s="41"/>
      <c r="K25" s="41"/>
      <c r="L25" s="41"/>
      <c r="M25" s="41"/>
      <c r="N25" s="41"/>
      <c r="O25" s="41"/>
      <c r="P25" s="41"/>
      <c r="Q25" s="41"/>
      <c r="R25" s="41"/>
      <c r="S25" s="41"/>
      <c r="T25" s="41"/>
      <c r="U25" s="41"/>
      <c r="V25" s="41"/>
      <c r="W25" s="41"/>
      <c r="X25" s="41"/>
      <c r="Y25" s="41"/>
      <c r="Z25" s="41"/>
      <c r="AA25" s="41"/>
      <c r="AB25" s="41"/>
      <c r="AC25" s="41"/>
      <c r="AD25" s="41"/>
      <c r="AE25" s="41"/>
      <c r="AF25" s="42"/>
    </row>
    <row r="26" spans="1:32" s="17" customFormat="1" ht="27" customHeight="1">
      <c r="A26" s="219"/>
      <c r="B26" s="223"/>
      <c r="C26" s="224"/>
      <c r="D26" s="224"/>
      <c r="E26" s="224"/>
      <c r="F26" s="225"/>
      <c r="G26" s="39" t="s">
        <v>38</v>
      </c>
      <c r="H26" s="43"/>
      <c r="I26" s="44"/>
      <c r="J26" s="44"/>
      <c r="K26" s="44"/>
      <c r="L26" s="44"/>
      <c r="M26" s="44"/>
      <c r="N26" s="44"/>
      <c r="O26" s="44"/>
      <c r="P26" s="44"/>
      <c r="Q26" s="44"/>
      <c r="R26" s="44"/>
      <c r="S26" s="44"/>
      <c r="T26" s="44"/>
      <c r="U26" s="44"/>
      <c r="V26" s="44"/>
      <c r="W26" s="44"/>
      <c r="X26" s="44"/>
      <c r="Y26" s="44"/>
      <c r="Z26" s="44"/>
      <c r="AA26" s="44"/>
      <c r="AB26" s="44"/>
      <c r="AC26" s="44"/>
      <c r="AD26" s="44"/>
      <c r="AE26" s="44"/>
      <c r="AF26" s="45"/>
    </row>
    <row r="27" spans="1:32" s="17" customFormat="1" ht="24.75" customHeight="1">
      <c r="A27" s="219"/>
      <c r="B27" s="223"/>
      <c r="C27" s="224"/>
      <c r="D27" s="224"/>
      <c r="E27" s="224"/>
      <c r="F27" s="225"/>
      <c r="G27" s="46" t="s">
        <v>39</v>
      </c>
      <c r="H27" s="40"/>
      <c r="I27" s="41"/>
      <c r="J27" s="41"/>
      <c r="K27" s="41"/>
      <c r="L27" s="41"/>
      <c r="M27" s="41"/>
      <c r="N27" s="70"/>
      <c r="O27" s="41"/>
      <c r="P27" s="41"/>
      <c r="Q27" s="41"/>
      <c r="R27" s="41"/>
      <c r="S27" s="41"/>
      <c r="T27" s="41"/>
      <c r="U27" s="41"/>
      <c r="V27" s="41"/>
      <c r="W27" s="41"/>
      <c r="X27" s="41"/>
      <c r="Y27" s="41"/>
      <c r="Z27" s="41"/>
      <c r="AA27" s="41"/>
      <c r="AB27" s="41"/>
      <c r="AC27" s="41"/>
      <c r="AD27" s="41"/>
      <c r="AE27" s="41"/>
      <c r="AF27" s="42"/>
    </row>
    <row r="28" spans="1:32" s="17" customFormat="1" ht="24.75" customHeight="1">
      <c r="A28" s="258" t="s">
        <v>48</v>
      </c>
      <c r="B28" s="260" t="s">
        <v>40</v>
      </c>
      <c r="C28" s="260"/>
      <c r="D28" s="260"/>
      <c r="E28" s="260"/>
      <c r="F28" s="261" t="str">
        <f>GetBugSheetName()</f>
        <v>Edit_Logout_</v>
      </c>
      <c r="G28" s="262"/>
      <c r="H28" s="60"/>
      <c r="I28" s="53"/>
      <c r="J28" s="53"/>
      <c r="K28" s="53"/>
      <c r="L28" s="53"/>
      <c r="M28" s="53"/>
      <c r="N28" s="53"/>
      <c r="O28" s="53"/>
      <c r="P28" s="53"/>
      <c r="Q28" s="53"/>
      <c r="R28" s="53"/>
      <c r="S28" s="53"/>
      <c r="T28" s="53"/>
      <c r="U28" s="53"/>
      <c r="V28" s="53"/>
      <c r="W28" s="53"/>
      <c r="X28" s="53"/>
      <c r="Y28" s="53"/>
      <c r="Z28" s="53"/>
      <c r="AA28" s="53"/>
      <c r="AB28" s="53"/>
      <c r="AC28" s="53"/>
      <c r="AD28" s="53"/>
      <c r="AE28" s="53"/>
      <c r="AF28" s="54"/>
    </row>
    <row r="29" spans="1:32" s="17" customFormat="1" ht="36" customHeight="1" thickBot="1">
      <c r="A29" s="259"/>
      <c r="B29" s="246" t="s">
        <v>30</v>
      </c>
      <c r="C29" s="247"/>
      <c r="D29" s="247"/>
      <c r="E29" s="248"/>
      <c r="F29" s="246"/>
      <c r="G29" s="263"/>
      <c r="H29" s="61"/>
      <c r="I29" s="55"/>
      <c r="J29" s="55"/>
      <c r="K29" s="55"/>
      <c r="L29" s="55"/>
      <c r="M29" s="55"/>
      <c r="N29" s="55"/>
      <c r="O29" s="55"/>
      <c r="P29" s="55"/>
      <c r="Q29" s="55"/>
      <c r="R29" s="55"/>
      <c r="S29" s="55" t="str">
        <f t="shared" ref="S29:AF29" si="1">IF(S28="","",(SUM(LEN(S28)-LEN(SUBSTITUTE(S28,",","")))/LEN(",")) + 1 )</f>
        <v/>
      </c>
      <c r="T29" s="55" t="str">
        <f t="shared" si="1"/>
        <v/>
      </c>
      <c r="U29" s="55" t="str">
        <f t="shared" si="1"/>
        <v/>
      </c>
      <c r="V29" s="55" t="str">
        <f t="shared" si="1"/>
        <v/>
      </c>
      <c r="W29" s="55" t="str">
        <f t="shared" si="1"/>
        <v/>
      </c>
      <c r="X29" s="55" t="str">
        <f t="shared" si="1"/>
        <v/>
      </c>
      <c r="Y29" s="55" t="str">
        <f t="shared" si="1"/>
        <v/>
      </c>
      <c r="Z29" s="55" t="str">
        <f t="shared" si="1"/>
        <v/>
      </c>
      <c r="AA29" s="55" t="str">
        <f t="shared" si="1"/>
        <v/>
      </c>
      <c r="AB29" s="55" t="str">
        <f t="shared" si="1"/>
        <v/>
      </c>
      <c r="AC29" s="55" t="str">
        <f t="shared" si="1"/>
        <v/>
      </c>
      <c r="AD29" s="55" t="str">
        <f t="shared" si="1"/>
        <v/>
      </c>
      <c r="AE29" s="55" t="str">
        <f t="shared" si="1"/>
        <v/>
      </c>
      <c r="AF29" s="56" t="str">
        <f t="shared" si="1"/>
        <v/>
      </c>
    </row>
    <row r="30" spans="1:32" s="17" customFormat="1">
      <c r="H30" s="47"/>
      <c r="I30" s="47"/>
      <c r="J30" s="47"/>
      <c r="K30" s="47"/>
      <c r="L30" s="47"/>
      <c r="M30" s="47"/>
      <c r="N30" s="48"/>
      <c r="O30" s="49"/>
      <c r="P30" s="47"/>
      <c r="Q30" s="47"/>
      <c r="R30" s="47"/>
      <c r="S30" s="47"/>
      <c r="T30" s="47"/>
      <c r="U30" s="47"/>
      <c r="V30" s="47"/>
    </row>
  </sheetData>
  <sheetProtection insertRows="0"/>
  <protectedRanges>
    <protectedRange sqref="B4:G23" name="Range2_1"/>
    <protectedRange sqref="B1:O2 P2 T1 AC1:AF2" name="Range1_1"/>
    <protectedRange sqref="H24:AF28" name="Range3_1_1"/>
    <protectedRange sqref="H4:AF23" name="Range2_1_1"/>
  </protectedRanges>
  <mergeCells count="48">
    <mergeCell ref="A28:A29"/>
    <mergeCell ref="B28:E28"/>
    <mergeCell ref="F28:G28"/>
    <mergeCell ref="B29:E29"/>
    <mergeCell ref="F29:G29"/>
    <mergeCell ref="AA1:AB1"/>
    <mergeCell ref="AC1:AF1"/>
    <mergeCell ref="F2:H2"/>
    <mergeCell ref="AA2:AB2"/>
    <mergeCell ref="AC2:AF2"/>
    <mergeCell ref="B1:E1"/>
    <mergeCell ref="F1:O1"/>
    <mergeCell ref="B2:E2"/>
    <mergeCell ref="I2:O2"/>
    <mergeCell ref="P2:Z2"/>
    <mergeCell ref="P1:S1"/>
    <mergeCell ref="T1:Z1"/>
    <mergeCell ref="A4:A14"/>
    <mergeCell ref="B4:G4"/>
    <mergeCell ref="B5:G5"/>
    <mergeCell ref="C6:G6"/>
    <mergeCell ref="C7:C8"/>
    <mergeCell ref="D7:G7"/>
    <mergeCell ref="D8:G8"/>
    <mergeCell ref="C12:G12"/>
    <mergeCell ref="C13:C14"/>
    <mergeCell ref="D13:G13"/>
    <mergeCell ref="C9:G9"/>
    <mergeCell ref="C10:C11"/>
    <mergeCell ref="D10:G10"/>
    <mergeCell ref="D11:G11"/>
    <mergeCell ref="D14:G14"/>
    <mergeCell ref="C23:G23"/>
    <mergeCell ref="C21:G21"/>
    <mergeCell ref="A24:A27"/>
    <mergeCell ref="B24:F24"/>
    <mergeCell ref="B25:F25"/>
    <mergeCell ref="B26:F26"/>
    <mergeCell ref="B27:F27"/>
    <mergeCell ref="A15:A23"/>
    <mergeCell ref="B15:G15"/>
    <mergeCell ref="C16:G16"/>
    <mergeCell ref="B17:B23"/>
    <mergeCell ref="C17:G17"/>
    <mergeCell ref="C18:G18"/>
    <mergeCell ref="C19:G19"/>
    <mergeCell ref="C20:G20"/>
    <mergeCell ref="C22:G22"/>
  </mergeCells>
  <phoneticPr fontId="3"/>
  <conditionalFormatting sqref="H3:AF29">
    <cfRule type="expression" dxfId="103" priority="1" stopIfTrue="1">
      <formula>H$27="NA"</formula>
    </cfRule>
    <cfRule type="expression" dxfId="102" priority="2" stopIfTrue="1">
      <formula>H$27="NG"</formula>
    </cfRule>
  </conditionalFormatting>
  <dataValidations count="10">
    <dataValidation type="list" allowBlank="1" showInputMessage="1" showErrorMessage="1" sqref="H24:AF24">
      <formula1>"N, A, B"</formula1>
    </dataValidation>
    <dataValidation type="list" allowBlank="1" showInputMessage="1" showErrorMessage="1" sqref="H27:AF27">
      <formula1>"OK, NG, NA, PT"</formula1>
    </dataValidation>
    <dataValidation allowBlank="1" showInputMessage="1" showErrorMessage="1" promptTitle="Input conditions" prompt="that need to be checked." sqref="A4:A14"/>
    <dataValidation allowBlank="1" showInputMessage="1" showErrorMessage="1" promptTitle="Check points" prompt="that need / need not be executed" sqref="A15:A23"/>
    <dataValidation allowBlank="1" showInputMessage="1" showErrorMessage="1" promptTitle="PCL sheet name" prompt=" " sqref="F28:G28"/>
    <dataValidation allowBlank="1" showInputMessage="1" showErrorMessage="1" promptTitle="Bug ID" prompt="Unique ID throughout the project._x000a_For every Bug found during Test as well as Re-Test, a new Bug ID needs to be entered here (as a comma seperated value)" sqref="B28:E28"/>
    <dataValidation allowBlank="1" showInputMessage="1" showErrorMessage="1" promptTitle="Test Result" prompt="OK : Result is OK      _x000a_NG : Result is not as expected_x000a_NA : Not Applicable      _x000a_PT : Testing Pending (as Data not available/ cannot be generated currently)" sqref="G27"/>
    <dataValidation allowBlank="1" showInputMessage="1" showErrorMessage="1" promptTitle="Testing Date" prompt="Date on which test was performed in yyyy/mm/dd format" sqref="G26"/>
    <dataValidation allowBlank="1" showInputMessage="1" showErrorMessage="1" promptTitle="Enter" prompt="Name of the person who performed the test" sqref="G25"/>
    <dataValidation allowBlank="1" showInputMessage="1" showErrorMessage="1" promptTitle="Condition Type" prompt="N : Normal _x000a_A : Abnormal _x000a_B : Boundary" sqref="G24"/>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7"/>
  <dimension ref="A1:AF35"/>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C13" sqref="C13:G13"/>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288</v>
      </c>
      <c r="J2" s="247"/>
      <c r="K2" s="247"/>
      <c r="L2" s="247"/>
      <c r="M2" s="247"/>
      <c r="N2" s="247"/>
      <c r="O2" s="248"/>
      <c r="P2" s="243"/>
      <c r="Q2" s="244"/>
      <c r="R2" s="244"/>
      <c r="S2" s="244"/>
      <c r="T2" s="244"/>
      <c r="U2" s="244"/>
      <c r="V2" s="244"/>
      <c r="W2" s="244"/>
      <c r="X2" s="244"/>
      <c r="Y2" s="244"/>
      <c r="Z2" s="245"/>
      <c r="AA2" s="255" t="s">
        <v>289</v>
      </c>
      <c r="AB2" s="256"/>
      <c r="AC2" s="243" t="s">
        <v>290</v>
      </c>
      <c r="AD2" s="244"/>
      <c r="AE2" s="244"/>
      <c r="AF2" s="257"/>
    </row>
    <row r="3" spans="1:32" ht="37.5" customHeight="1" thickBot="1">
      <c r="A3" s="66" t="s">
        <v>50</v>
      </c>
      <c r="B3" s="10"/>
      <c r="C3" s="10"/>
      <c r="D3" s="10"/>
      <c r="E3" s="10"/>
      <c r="F3" s="10"/>
      <c r="G3" s="65" t="s">
        <v>51</v>
      </c>
      <c r="H3" s="11">
        <f>IF(COUNTA(H4:H29)&gt;0,1,"")</f>
        <v>1</v>
      </c>
      <c r="I3" s="12">
        <f t="shared" ref="I3:AF3" si="0">IF(COUNTA(I4:I29)&gt;0,IF(H3&gt;0,H3+1,""),"")</f>
        <v>2</v>
      </c>
      <c r="J3" s="12">
        <f t="shared" si="0"/>
        <v>3</v>
      </c>
      <c r="K3" s="12">
        <f t="shared" si="0"/>
        <v>4</v>
      </c>
      <c r="L3" s="12">
        <f t="shared" si="0"/>
        <v>5</v>
      </c>
      <c r="M3" s="12">
        <f t="shared" si="0"/>
        <v>6</v>
      </c>
      <c r="N3" s="12">
        <f t="shared" si="0"/>
        <v>7</v>
      </c>
      <c r="O3" s="12">
        <f t="shared" si="0"/>
        <v>8</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52</v>
      </c>
      <c r="B4" s="230" t="s">
        <v>291</v>
      </c>
      <c r="C4" s="230"/>
      <c r="D4" s="230"/>
      <c r="E4" s="230"/>
      <c r="F4" s="230"/>
      <c r="G4" s="230"/>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56</v>
      </c>
      <c r="C5" s="235"/>
      <c r="D5" s="235"/>
      <c r="E5" s="235"/>
      <c r="F5" s="235"/>
      <c r="G5" s="264"/>
      <c r="H5" s="80" t="s">
        <v>80</v>
      </c>
      <c r="I5" s="81" t="s">
        <v>80</v>
      </c>
      <c r="J5" s="81" t="s">
        <v>80</v>
      </c>
      <c r="K5" s="81" t="s">
        <v>80</v>
      </c>
      <c r="L5" s="81" t="s">
        <v>80</v>
      </c>
      <c r="M5" s="81" t="s">
        <v>80</v>
      </c>
      <c r="N5" s="81" t="s">
        <v>80</v>
      </c>
      <c r="O5" s="23" t="s">
        <v>80</v>
      </c>
      <c r="P5" s="19"/>
      <c r="Q5" s="19"/>
      <c r="R5" s="19"/>
      <c r="S5" s="19"/>
      <c r="T5" s="19"/>
      <c r="U5" s="19"/>
      <c r="V5" s="19"/>
      <c r="W5" s="19"/>
      <c r="X5" s="19"/>
      <c r="Y5" s="19"/>
      <c r="Z5" s="19"/>
      <c r="AA5" s="19"/>
      <c r="AB5" s="19"/>
      <c r="AC5" s="19"/>
      <c r="AD5" s="19"/>
      <c r="AE5" s="19"/>
      <c r="AF5" s="20"/>
    </row>
    <row r="6" spans="1:32" s="17" customFormat="1" ht="13.5" customHeight="1">
      <c r="A6" s="233"/>
      <c r="B6" s="238"/>
      <c r="C6" s="265" t="s">
        <v>57</v>
      </c>
      <c r="D6" s="266"/>
      <c r="E6" s="266"/>
      <c r="F6" s="266"/>
      <c r="G6" s="267"/>
      <c r="H6" s="81" t="s">
        <v>80</v>
      </c>
      <c r="I6" s="81"/>
      <c r="J6" s="81"/>
      <c r="K6" s="81"/>
      <c r="L6" s="81"/>
      <c r="M6" s="19"/>
      <c r="N6" s="19"/>
      <c r="O6" s="82"/>
      <c r="P6" s="23"/>
      <c r="Q6" s="23"/>
      <c r="R6" s="23"/>
      <c r="S6" s="23"/>
      <c r="T6" s="23"/>
      <c r="U6" s="23"/>
      <c r="V6" s="23"/>
      <c r="W6" s="23"/>
      <c r="X6" s="23"/>
      <c r="Y6" s="23"/>
      <c r="Z6" s="23"/>
      <c r="AA6" s="23"/>
      <c r="AB6" s="23"/>
      <c r="AC6" s="23"/>
      <c r="AD6" s="23"/>
      <c r="AE6" s="23"/>
      <c r="AF6" s="24"/>
    </row>
    <row r="7" spans="1:32" s="17" customFormat="1" ht="13.5" customHeight="1">
      <c r="A7" s="233"/>
      <c r="B7" s="238"/>
      <c r="C7" s="275" t="s">
        <v>58</v>
      </c>
      <c r="D7" s="275"/>
      <c r="E7" s="275"/>
      <c r="F7" s="275"/>
      <c r="G7" s="276"/>
      <c r="H7" s="83"/>
      <c r="I7" s="81" t="s">
        <v>80</v>
      </c>
      <c r="J7" s="81"/>
      <c r="K7" s="81"/>
      <c r="L7" s="81"/>
      <c r="M7" s="19"/>
      <c r="N7" s="19"/>
      <c r="O7" s="82"/>
      <c r="P7" s="23"/>
      <c r="Q7" s="23"/>
      <c r="R7" s="23"/>
      <c r="S7" s="23"/>
      <c r="T7" s="23"/>
      <c r="U7" s="23"/>
      <c r="V7" s="23"/>
      <c r="W7" s="23"/>
      <c r="X7" s="23"/>
      <c r="Y7" s="23"/>
      <c r="Z7" s="23"/>
      <c r="AA7" s="23"/>
      <c r="AB7" s="23"/>
      <c r="AC7" s="23"/>
      <c r="AD7" s="23"/>
      <c r="AE7" s="23"/>
      <c r="AF7" s="24"/>
    </row>
    <row r="8" spans="1:32" s="17" customFormat="1" ht="13.5" customHeight="1">
      <c r="A8" s="233"/>
      <c r="B8" s="238"/>
      <c r="C8" s="268" t="s">
        <v>59</v>
      </c>
      <c r="D8" s="269"/>
      <c r="E8" s="269"/>
      <c r="F8" s="269"/>
      <c r="G8" s="270"/>
      <c r="H8" s="23"/>
      <c r="I8" s="23"/>
      <c r="J8" s="23"/>
      <c r="K8" s="23"/>
      <c r="L8" s="23"/>
      <c r="M8" s="23"/>
      <c r="N8" s="23"/>
      <c r="O8" s="82"/>
      <c r="P8" s="23"/>
      <c r="Q8" s="23"/>
      <c r="R8" s="23"/>
      <c r="S8" s="23"/>
      <c r="T8" s="23"/>
      <c r="U8" s="23"/>
      <c r="V8" s="23"/>
      <c r="W8" s="23"/>
      <c r="X8" s="23"/>
      <c r="Y8" s="23"/>
      <c r="Z8" s="23"/>
      <c r="AA8" s="23"/>
      <c r="AB8" s="23"/>
      <c r="AC8" s="23"/>
      <c r="AD8" s="23"/>
      <c r="AE8" s="23"/>
      <c r="AF8" s="24"/>
    </row>
    <row r="9" spans="1:32" s="17" customFormat="1" ht="13.5" customHeight="1">
      <c r="A9" s="233"/>
      <c r="B9" s="238"/>
      <c r="C9" s="277"/>
      <c r="D9" s="268" t="s">
        <v>60</v>
      </c>
      <c r="E9" s="269"/>
      <c r="F9" s="269"/>
      <c r="G9" s="270"/>
      <c r="H9" s="23"/>
      <c r="I9" s="23"/>
      <c r="J9" s="81" t="s">
        <v>80</v>
      </c>
      <c r="K9" s="82"/>
      <c r="L9" s="23"/>
      <c r="M9" s="82"/>
      <c r="N9" s="23"/>
      <c r="O9" s="82"/>
      <c r="P9" s="23"/>
      <c r="Q9" s="23"/>
      <c r="R9" s="23"/>
      <c r="S9" s="23"/>
      <c r="T9" s="23"/>
      <c r="U9" s="23"/>
      <c r="V9" s="23"/>
      <c r="W9" s="23"/>
      <c r="X9" s="23"/>
      <c r="Y9" s="23"/>
      <c r="Z9" s="23"/>
      <c r="AA9" s="23"/>
      <c r="AB9" s="23"/>
      <c r="AC9" s="23"/>
      <c r="AD9" s="23"/>
      <c r="AE9" s="23"/>
      <c r="AF9" s="24"/>
    </row>
    <row r="10" spans="1:32" s="17" customFormat="1" ht="13.5" customHeight="1">
      <c r="A10" s="233"/>
      <c r="B10" s="238"/>
      <c r="C10" s="238"/>
      <c r="D10" s="268" t="s">
        <v>61</v>
      </c>
      <c r="E10" s="269"/>
      <c r="F10" s="269"/>
      <c r="G10" s="270"/>
      <c r="H10" s="23"/>
      <c r="I10" s="23"/>
      <c r="J10" s="23"/>
      <c r="K10" s="81" t="s">
        <v>80</v>
      </c>
      <c r="L10" s="82"/>
      <c r="M10" s="82"/>
      <c r="N10" s="23"/>
      <c r="O10" s="82"/>
      <c r="P10" s="23"/>
      <c r="Q10" s="23"/>
      <c r="R10" s="23"/>
      <c r="S10" s="23"/>
      <c r="T10" s="23"/>
      <c r="U10" s="23"/>
      <c r="V10" s="23"/>
      <c r="W10" s="23"/>
      <c r="X10" s="23"/>
      <c r="Y10" s="23"/>
      <c r="Z10" s="23"/>
      <c r="AA10" s="23"/>
      <c r="AB10" s="23"/>
      <c r="AC10" s="23"/>
      <c r="AD10" s="23"/>
      <c r="AE10" s="23"/>
      <c r="AF10" s="24"/>
    </row>
    <row r="11" spans="1:32" s="17" customFormat="1" ht="13.5" customHeight="1">
      <c r="A11" s="233"/>
      <c r="B11" s="238"/>
      <c r="C11" s="278"/>
      <c r="D11" s="268" t="s">
        <v>62</v>
      </c>
      <c r="E11" s="269"/>
      <c r="F11" s="269"/>
      <c r="G11" s="270"/>
      <c r="H11" s="30"/>
      <c r="I11" s="23"/>
      <c r="J11" s="23"/>
      <c r="K11" s="81"/>
      <c r="L11" s="82" t="s">
        <v>80</v>
      </c>
      <c r="M11" s="82"/>
      <c r="N11" s="23"/>
      <c r="O11" s="82"/>
      <c r="P11" s="23"/>
      <c r="Q11" s="23"/>
      <c r="R11" s="23"/>
      <c r="S11" s="23"/>
      <c r="T11" s="23"/>
      <c r="U11" s="23"/>
      <c r="V11" s="23"/>
      <c r="W11" s="23"/>
      <c r="X11" s="23"/>
      <c r="Y11" s="23"/>
      <c r="Z11" s="23"/>
      <c r="AA11" s="23"/>
      <c r="AB11" s="23"/>
      <c r="AC11" s="23"/>
      <c r="AD11" s="23"/>
      <c r="AE11" s="23"/>
      <c r="AF11" s="24"/>
    </row>
    <row r="12" spans="1:32" s="17" customFormat="1" ht="13.5" customHeight="1">
      <c r="A12" s="233"/>
      <c r="B12" s="238"/>
      <c r="C12" s="276" t="s">
        <v>63</v>
      </c>
      <c r="D12" s="279"/>
      <c r="E12" s="279"/>
      <c r="F12" s="279"/>
      <c r="G12" s="280"/>
      <c r="H12" s="30"/>
      <c r="I12" s="23"/>
      <c r="J12" s="23"/>
      <c r="K12" s="81"/>
      <c r="L12" s="81"/>
      <c r="M12" s="81" t="s">
        <v>80</v>
      </c>
      <c r="N12" s="82"/>
      <c r="O12" s="23"/>
      <c r="P12" s="23"/>
      <c r="Q12" s="23"/>
      <c r="R12" s="23"/>
      <c r="S12" s="23"/>
      <c r="T12" s="23"/>
      <c r="U12" s="23"/>
      <c r="V12" s="23"/>
      <c r="W12" s="23"/>
      <c r="X12" s="23"/>
      <c r="Y12" s="23"/>
      <c r="Z12" s="23"/>
      <c r="AA12" s="23"/>
      <c r="AB12" s="23"/>
      <c r="AC12" s="23"/>
      <c r="AD12" s="23"/>
      <c r="AE12" s="23"/>
      <c r="AF12" s="24"/>
    </row>
    <row r="13" spans="1:32" s="17" customFormat="1" ht="13.5" customHeight="1">
      <c r="A13" s="233"/>
      <c r="B13" s="238"/>
      <c r="C13" s="276" t="s">
        <v>64</v>
      </c>
      <c r="D13" s="279"/>
      <c r="E13" s="279"/>
      <c r="F13" s="279"/>
      <c r="G13" s="280"/>
      <c r="H13" s="30"/>
      <c r="I13" s="30"/>
      <c r="J13" s="30"/>
      <c r="K13" s="84"/>
      <c r="L13" s="84"/>
      <c r="M13" s="84"/>
      <c r="N13" s="81" t="s">
        <v>80</v>
      </c>
      <c r="O13" s="30"/>
      <c r="P13" s="23"/>
      <c r="Q13" s="23"/>
      <c r="R13" s="23"/>
      <c r="S13" s="23"/>
      <c r="T13" s="23"/>
      <c r="U13" s="23"/>
      <c r="V13" s="23"/>
      <c r="W13" s="23"/>
      <c r="X13" s="23"/>
      <c r="Y13" s="23"/>
      <c r="Z13" s="23"/>
      <c r="AA13" s="23"/>
      <c r="AB13" s="23"/>
      <c r="AC13" s="23"/>
      <c r="AD13" s="23"/>
      <c r="AE13" s="23"/>
      <c r="AF13" s="24"/>
    </row>
    <row r="14" spans="1:32" s="17" customFormat="1" ht="13.5" customHeight="1" thickBot="1">
      <c r="A14" s="233"/>
      <c r="B14" s="274"/>
      <c r="C14" s="281" t="s">
        <v>65</v>
      </c>
      <c r="D14" s="281"/>
      <c r="E14" s="281"/>
      <c r="F14" s="281"/>
      <c r="G14" s="282"/>
      <c r="H14" s="33"/>
      <c r="I14" s="33"/>
      <c r="J14" s="33"/>
      <c r="K14" s="33"/>
      <c r="L14" s="33"/>
      <c r="M14" s="33"/>
      <c r="N14" s="85"/>
      <c r="O14" s="85" t="s">
        <v>80</v>
      </c>
      <c r="P14" s="23"/>
      <c r="Q14" s="23"/>
      <c r="R14" s="23"/>
      <c r="S14" s="23"/>
      <c r="T14" s="23"/>
      <c r="U14" s="23"/>
      <c r="V14" s="23"/>
      <c r="W14" s="23"/>
      <c r="X14" s="23"/>
      <c r="Y14" s="23"/>
      <c r="Z14" s="23"/>
      <c r="AA14" s="23"/>
      <c r="AB14" s="23"/>
      <c r="AC14" s="23"/>
      <c r="AD14" s="23"/>
      <c r="AE14" s="23"/>
      <c r="AF14" s="24"/>
    </row>
    <row r="15" spans="1:32" s="17" customFormat="1" ht="13.5" customHeight="1">
      <c r="A15" s="226" t="s">
        <v>53</v>
      </c>
      <c r="B15" s="271" t="s">
        <v>66</v>
      </c>
      <c r="C15" s="272"/>
      <c r="D15" s="272"/>
      <c r="E15" s="272"/>
      <c r="F15" s="272"/>
      <c r="G15" s="272"/>
      <c r="H15" s="86"/>
      <c r="I15" s="87"/>
      <c r="J15" s="87"/>
      <c r="K15" s="87"/>
      <c r="L15" s="87"/>
      <c r="M15" s="87"/>
      <c r="N15" s="87"/>
      <c r="O15" s="87"/>
      <c r="P15" s="26"/>
      <c r="Q15" s="26"/>
      <c r="R15" s="26"/>
      <c r="S15" s="26"/>
      <c r="T15" s="26"/>
      <c r="U15" s="26"/>
      <c r="V15" s="26"/>
      <c r="W15" s="26"/>
      <c r="X15" s="26"/>
      <c r="Y15" s="26"/>
      <c r="Z15" s="26"/>
      <c r="AA15" s="26"/>
      <c r="AB15" s="26"/>
      <c r="AC15" s="26"/>
      <c r="AD15" s="26"/>
      <c r="AE15" s="26"/>
      <c r="AF15" s="27"/>
    </row>
    <row r="16" spans="1:32" s="17" customFormat="1" ht="13.5" customHeight="1">
      <c r="A16" s="227"/>
      <c r="B16" s="277"/>
      <c r="C16" s="216" t="s">
        <v>67</v>
      </c>
      <c r="D16" s="217"/>
      <c r="E16" s="217"/>
      <c r="F16" s="217"/>
      <c r="G16" s="273"/>
      <c r="H16" s="88"/>
      <c r="I16" s="23"/>
      <c r="J16" s="23"/>
      <c r="K16" s="23"/>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227"/>
      <c r="B17" s="238"/>
      <c r="C17" s="284"/>
      <c r="D17" s="217" t="s">
        <v>68</v>
      </c>
      <c r="E17" s="217"/>
      <c r="F17" s="217"/>
      <c r="G17" s="273"/>
      <c r="H17" s="89" t="s">
        <v>80</v>
      </c>
      <c r="I17" s="81" t="s">
        <v>80</v>
      </c>
      <c r="J17" s="23"/>
      <c r="K17" s="23"/>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227"/>
      <c r="B18" s="238"/>
      <c r="C18" s="285"/>
      <c r="D18" s="217" t="s">
        <v>69</v>
      </c>
      <c r="E18" s="217"/>
      <c r="F18" s="217"/>
      <c r="G18" s="273"/>
      <c r="H18" s="89" t="s">
        <v>80</v>
      </c>
      <c r="I18" s="81" t="s">
        <v>80</v>
      </c>
      <c r="J18" s="81"/>
      <c r="K18" s="81"/>
      <c r="L18" s="82"/>
      <c r="M18" s="82"/>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227"/>
      <c r="B19" s="238"/>
      <c r="C19" s="286"/>
      <c r="D19" s="217" t="s">
        <v>70</v>
      </c>
      <c r="E19" s="217"/>
      <c r="F19" s="217"/>
      <c r="G19" s="273"/>
      <c r="H19" s="89"/>
      <c r="I19" s="81"/>
      <c r="J19" s="81" t="s">
        <v>80</v>
      </c>
      <c r="K19" s="81" t="s">
        <v>80</v>
      </c>
      <c r="L19" s="81" t="s">
        <v>80</v>
      </c>
      <c r="M19" s="82"/>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227"/>
      <c r="B20" s="238"/>
      <c r="C20" s="216" t="s">
        <v>71</v>
      </c>
      <c r="D20" s="217"/>
      <c r="E20" s="217"/>
      <c r="F20" s="217"/>
      <c r="G20" s="273"/>
      <c r="H20" s="90"/>
      <c r="I20" s="81"/>
      <c r="J20" s="81"/>
      <c r="K20" s="81"/>
      <c r="L20" s="81"/>
      <c r="M20" s="82"/>
      <c r="N20" s="23"/>
      <c r="O20" s="23"/>
      <c r="P20" s="23"/>
      <c r="Q20" s="23"/>
      <c r="R20" s="23"/>
      <c r="S20" s="23"/>
      <c r="T20" s="23"/>
      <c r="U20" s="23"/>
      <c r="V20" s="23"/>
      <c r="W20" s="23"/>
      <c r="X20" s="23"/>
      <c r="Y20" s="23"/>
      <c r="Z20" s="23"/>
      <c r="AA20" s="23"/>
      <c r="AB20" s="23"/>
      <c r="AC20" s="23"/>
      <c r="AD20" s="23"/>
      <c r="AE20" s="23"/>
      <c r="AF20" s="24"/>
    </row>
    <row r="21" spans="1:32" s="17" customFormat="1" ht="13.5" customHeight="1">
      <c r="A21" s="227"/>
      <c r="B21" s="238"/>
      <c r="C21" s="78"/>
      <c r="D21" s="216" t="s">
        <v>72</v>
      </c>
      <c r="E21" s="217"/>
      <c r="F21" s="217"/>
      <c r="G21" s="273"/>
      <c r="H21" s="89" t="s">
        <v>80</v>
      </c>
      <c r="I21" s="81" t="s">
        <v>80</v>
      </c>
      <c r="J21" s="81"/>
      <c r="K21" s="81"/>
      <c r="L21" s="81"/>
      <c r="M21" s="82"/>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227"/>
      <c r="B22" s="238"/>
      <c r="C22" s="216" t="s">
        <v>73</v>
      </c>
      <c r="D22" s="217"/>
      <c r="E22" s="217"/>
      <c r="F22" s="217"/>
      <c r="G22" s="217"/>
      <c r="H22" s="22"/>
      <c r="I22" s="23"/>
      <c r="J22" s="23"/>
      <c r="K22" s="23"/>
      <c r="L22" s="23"/>
      <c r="M22" s="23"/>
      <c r="N22" s="23"/>
      <c r="O22" s="23"/>
      <c r="P22" s="23"/>
      <c r="Q22" s="23"/>
      <c r="R22" s="23"/>
      <c r="S22" s="23"/>
      <c r="T22" s="23"/>
      <c r="U22" s="23"/>
      <c r="V22" s="23"/>
      <c r="W22" s="23"/>
      <c r="X22" s="23"/>
      <c r="Y22" s="23"/>
      <c r="Z22" s="23"/>
      <c r="AA22" s="23"/>
      <c r="AB22" s="23"/>
      <c r="AC22" s="23"/>
      <c r="AD22" s="23"/>
      <c r="AE22" s="23"/>
      <c r="AF22" s="24"/>
    </row>
    <row r="23" spans="1:32" s="17" customFormat="1" ht="13.5" customHeight="1">
      <c r="A23" s="227"/>
      <c r="B23" s="238"/>
      <c r="C23" s="78"/>
      <c r="D23" s="216" t="s">
        <v>74</v>
      </c>
      <c r="E23" s="217"/>
      <c r="F23" s="217"/>
      <c r="G23" s="217"/>
      <c r="H23" s="80" t="s">
        <v>80</v>
      </c>
      <c r="I23" s="81" t="s">
        <v>80</v>
      </c>
      <c r="J23" s="81" t="s">
        <v>80</v>
      </c>
      <c r="K23" s="81" t="s">
        <v>80</v>
      </c>
      <c r="L23" s="81" t="s">
        <v>80</v>
      </c>
      <c r="M23" s="81" t="s">
        <v>80</v>
      </c>
      <c r="N23" s="81" t="s">
        <v>80</v>
      </c>
      <c r="O23" s="81" t="s">
        <v>80</v>
      </c>
      <c r="P23" s="23"/>
      <c r="Q23" s="23"/>
      <c r="R23" s="23"/>
      <c r="S23" s="23"/>
      <c r="T23" s="23"/>
      <c r="U23" s="23"/>
      <c r="V23" s="23"/>
      <c r="W23" s="23"/>
      <c r="X23" s="23"/>
      <c r="Y23" s="23"/>
      <c r="Z23" s="23"/>
      <c r="AA23" s="23"/>
      <c r="AB23" s="23"/>
      <c r="AC23" s="23"/>
      <c r="AD23" s="23"/>
      <c r="AE23" s="23"/>
      <c r="AF23" s="24"/>
    </row>
    <row r="24" spans="1:32" s="17" customFormat="1" ht="13.5" customHeight="1">
      <c r="A24" s="227"/>
      <c r="B24" s="238"/>
      <c r="C24" s="216" t="s">
        <v>75</v>
      </c>
      <c r="D24" s="217"/>
      <c r="E24" s="217"/>
      <c r="F24" s="217"/>
      <c r="G24" s="217"/>
      <c r="H24" s="91"/>
      <c r="I24" s="23"/>
      <c r="J24" s="23"/>
      <c r="K24" s="23"/>
      <c r="L24" s="82"/>
      <c r="M24" s="23"/>
      <c r="N24" s="23"/>
      <c r="O24" s="23"/>
      <c r="P24" s="23"/>
      <c r="Q24" s="23"/>
      <c r="R24" s="23"/>
      <c r="S24" s="23"/>
      <c r="T24" s="23"/>
      <c r="U24" s="23"/>
      <c r="V24" s="23"/>
      <c r="W24" s="23"/>
      <c r="X24" s="23"/>
      <c r="Y24" s="23"/>
      <c r="Z24" s="23"/>
      <c r="AA24" s="23"/>
      <c r="AB24" s="23"/>
      <c r="AC24" s="23"/>
      <c r="AD24" s="23"/>
      <c r="AE24" s="23"/>
      <c r="AF24" s="24"/>
    </row>
    <row r="25" spans="1:32" s="17" customFormat="1" ht="13.5" customHeight="1">
      <c r="A25" s="227"/>
      <c r="B25" s="238"/>
      <c r="C25" s="67"/>
      <c r="D25" s="216" t="s">
        <v>76</v>
      </c>
      <c r="E25" s="217"/>
      <c r="F25" s="217"/>
      <c r="G25" s="273"/>
      <c r="H25" s="80"/>
      <c r="I25" s="23"/>
      <c r="J25" s="23"/>
      <c r="K25" s="23"/>
      <c r="L25" s="82"/>
      <c r="M25" s="81" t="s">
        <v>80</v>
      </c>
      <c r="N25" s="23"/>
      <c r="O25" s="23"/>
      <c r="P25" s="23"/>
      <c r="Q25" s="23"/>
      <c r="R25" s="23"/>
      <c r="S25" s="23"/>
      <c r="T25" s="23"/>
      <c r="U25" s="23"/>
      <c r="V25" s="23"/>
      <c r="W25" s="23"/>
      <c r="X25" s="23"/>
      <c r="Y25" s="23"/>
      <c r="Z25" s="23"/>
      <c r="AA25" s="23"/>
      <c r="AB25" s="23"/>
      <c r="AC25" s="23"/>
      <c r="AD25" s="23"/>
      <c r="AE25" s="23"/>
      <c r="AF25" s="24"/>
    </row>
    <row r="26" spans="1:32" s="17" customFormat="1" ht="13.5" customHeight="1">
      <c r="A26" s="227"/>
      <c r="B26" s="238"/>
      <c r="C26" s="216" t="s">
        <v>77</v>
      </c>
      <c r="D26" s="217"/>
      <c r="E26" s="217"/>
      <c r="F26" s="217"/>
      <c r="G26" s="273"/>
      <c r="H26" s="92"/>
      <c r="I26" s="30"/>
      <c r="J26" s="30"/>
      <c r="K26" s="30"/>
      <c r="L26" s="82"/>
      <c r="M26" s="84"/>
      <c r="N26" s="30"/>
      <c r="O26" s="30"/>
      <c r="P26" s="23"/>
      <c r="Q26" s="23"/>
      <c r="R26" s="23"/>
      <c r="S26" s="23"/>
      <c r="T26" s="23"/>
      <c r="U26" s="23"/>
      <c r="V26" s="23"/>
      <c r="W26" s="23"/>
      <c r="X26" s="23"/>
      <c r="Y26" s="23"/>
      <c r="Z26" s="23"/>
      <c r="AA26" s="23"/>
      <c r="AB26" s="23"/>
      <c r="AC26" s="23"/>
      <c r="AD26" s="23"/>
      <c r="AE26" s="23"/>
      <c r="AF26" s="24"/>
    </row>
    <row r="27" spans="1:32" s="17" customFormat="1" ht="13.5" customHeight="1">
      <c r="A27" s="227"/>
      <c r="B27" s="238"/>
      <c r="C27" s="67"/>
      <c r="D27" s="283" t="s">
        <v>78</v>
      </c>
      <c r="E27" s="283"/>
      <c r="F27" s="283"/>
      <c r="G27" s="283"/>
      <c r="H27" s="92"/>
      <c r="I27" s="30"/>
      <c r="J27" s="30"/>
      <c r="K27" s="30"/>
      <c r="L27" s="82"/>
      <c r="M27" s="84"/>
      <c r="N27" s="81" t="s">
        <v>80</v>
      </c>
      <c r="O27" s="30"/>
      <c r="P27" s="23"/>
      <c r="Q27" s="23"/>
      <c r="R27" s="23"/>
      <c r="S27" s="23"/>
      <c r="T27" s="23"/>
      <c r="U27" s="23"/>
      <c r="V27" s="23"/>
      <c r="W27" s="23"/>
      <c r="X27" s="23"/>
      <c r="Y27" s="23"/>
      <c r="Z27" s="23"/>
      <c r="AA27" s="23"/>
      <c r="AB27" s="23"/>
      <c r="AC27" s="23"/>
      <c r="AD27" s="23"/>
      <c r="AE27" s="23"/>
      <c r="AF27" s="24"/>
    </row>
    <row r="28" spans="1:32" s="17" customFormat="1" ht="13.5" customHeight="1" thickBot="1">
      <c r="A28" s="227"/>
      <c r="B28" s="274"/>
      <c r="C28" s="216" t="s">
        <v>79</v>
      </c>
      <c r="D28" s="217"/>
      <c r="E28" s="217"/>
      <c r="F28" s="217"/>
      <c r="G28" s="273"/>
      <c r="H28" s="92"/>
      <c r="I28" s="30"/>
      <c r="J28" s="30"/>
      <c r="K28" s="30"/>
      <c r="L28" s="82"/>
      <c r="M28" s="84"/>
      <c r="N28" s="84"/>
      <c r="O28" s="81" t="s">
        <v>80</v>
      </c>
      <c r="P28" s="30"/>
      <c r="Q28" s="30"/>
      <c r="R28" s="30"/>
      <c r="S28" s="30"/>
      <c r="T28" s="30"/>
      <c r="U28" s="30"/>
      <c r="V28" s="30"/>
      <c r="W28" s="30"/>
      <c r="X28" s="30"/>
      <c r="Y28" s="30"/>
      <c r="Z28" s="30"/>
      <c r="AA28" s="30"/>
      <c r="AB28" s="30"/>
      <c r="AC28" s="30"/>
      <c r="AD28" s="30"/>
      <c r="AE28" s="30"/>
      <c r="AF28" s="31"/>
    </row>
    <row r="29" spans="1:32" s="17" customFormat="1" ht="24" customHeight="1">
      <c r="A29" s="218" t="s">
        <v>54</v>
      </c>
      <c r="B29" s="220"/>
      <c r="C29" s="221"/>
      <c r="D29" s="221"/>
      <c r="E29" s="221"/>
      <c r="F29" s="222"/>
      <c r="G29" s="35" t="s">
        <v>36</v>
      </c>
      <c r="H29" s="36" t="s">
        <v>81</v>
      </c>
      <c r="I29" s="37" t="s">
        <v>81</v>
      </c>
      <c r="J29" s="37" t="s">
        <v>81</v>
      </c>
      <c r="K29" s="37" t="s">
        <v>81</v>
      </c>
      <c r="L29" s="37" t="s">
        <v>81</v>
      </c>
      <c r="M29" s="37" t="s">
        <v>81</v>
      </c>
      <c r="N29" s="37" t="s">
        <v>81</v>
      </c>
      <c r="O29" s="37" t="s">
        <v>82</v>
      </c>
      <c r="P29" s="37"/>
      <c r="Q29" s="37"/>
      <c r="R29" s="37"/>
      <c r="S29" s="37"/>
      <c r="T29" s="37"/>
      <c r="U29" s="37"/>
      <c r="V29" s="37"/>
      <c r="W29" s="37"/>
      <c r="X29" s="37"/>
      <c r="Y29" s="37"/>
      <c r="Z29" s="37"/>
      <c r="AA29" s="37"/>
      <c r="AB29" s="37"/>
      <c r="AC29" s="37"/>
      <c r="AD29" s="37"/>
      <c r="AE29" s="37"/>
      <c r="AF29" s="38"/>
    </row>
    <row r="30" spans="1:32" s="17" customFormat="1" ht="27" customHeight="1">
      <c r="A30" s="219"/>
      <c r="B30" s="223"/>
      <c r="C30" s="224"/>
      <c r="D30" s="224"/>
      <c r="E30" s="224"/>
      <c r="F30" s="225"/>
      <c r="G30" s="39" t="s">
        <v>37</v>
      </c>
      <c r="H30" s="40"/>
      <c r="I30" s="41"/>
      <c r="J30" s="41"/>
      <c r="K30" s="41"/>
      <c r="L30" s="41"/>
      <c r="M30" s="41"/>
      <c r="N30" s="41"/>
      <c r="O30" s="41"/>
      <c r="P30" s="41"/>
      <c r="Q30" s="41"/>
      <c r="R30" s="41"/>
      <c r="S30" s="41"/>
      <c r="T30" s="41"/>
      <c r="U30" s="41"/>
      <c r="V30" s="41"/>
      <c r="W30" s="41"/>
      <c r="X30" s="41"/>
      <c r="Y30" s="41"/>
      <c r="Z30" s="41"/>
      <c r="AA30" s="41"/>
      <c r="AB30" s="41"/>
      <c r="AC30" s="41"/>
      <c r="AD30" s="41"/>
      <c r="AE30" s="41"/>
      <c r="AF30" s="42"/>
    </row>
    <row r="31" spans="1:32" s="17" customFormat="1" ht="27" customHeight="1">
      <c r="A31" s="219"/>
      <c r="B31" s="223"/>
      <c r="C31" s="224"/>
      <c r="D31" s="224"/>
      <c r="E31" s="224"/>
      <c r="F31" s="225"/>
      <c r="G31" s="39" t="s">
        <v>38</v>
      </c>
      <c r="H31" s="43"/>
      <c r="I31" s="44"/>
      <c r="J31" s="44"/>
      <c r="K31" s="44"/>
      <c r="L31" s="44"/>
      <c r="M31" s="44"/>
      <c r="N31" s="44"/>
      <c r="O31" s="44"/>
      <c r="P31" s="44"/>
      <c r="Q31" s="44"/>
      <c r="R31" s="44"/>
      <c r="S31" s="44"/>
      <c r="T31" s="44"/>
      <c r="U31" s="44"/>
      <c r="V31" s="44"/>
      <c r="W31" s="44"/>
      <c r="X31" s="44"/>
      <c r="Y31" s="44"/>
      <c r="Z31" s="44"/>
      <c r="AA31" s="44"/>
      <c r="AB31" s="44"/>
      <c r="AC31" s="44"/>
      <c r="AD31" s="44"/>
      <c r="AE31" s="44"/>
      <c r="AF31" s="45"/>
    </row>
    <row r="32" spans="1:32" s="17" customFormat="1" ht="24.75" customHeight="1">
      <c r="A32" s="219"/>
      <c r="B32" s="223"/>
      <c r="C32" s="224"/>
      <c r="D32" s="224"/>
      <c r="E32" s="224"/>
      <c r="F32" s="225"/>
      <c r="G32" s="46" t="s">
        <v>39</v>
      </c>
      <c r="H32" s="40"/>
      <c r="I32" s="41"/>
      <c r="J32" s="41"/>
      <c r="K32" s="41"/>
      <c r="L32" s="41"/>
      <c r="M32" s="41"/>
      <c r="N32" s="70"/>
      <c r="O32" s="41"/>
      <c r="P32" s="41"/>
      <c r="Q32" s="41"/>
      <c r="R32" s="41"/>
      <c r="S32" s="41"/>
      <c r="T32" s="41"/>
      <c r="U32" s="41"/>
      <c r="V32" s="41"/>
      <c r="W32" s="41"/>
      <c r="X32" s="41"/>
      <c r="Y32" s="41"/>
      <c r="Z32" s="41"/>
      <c r="AA32" s="41"/>
      <c r="AB32" s="41"/>
      <c r="AC32" s="41"/>
      <c r="AD32" s="41"/>
      <c r="AE32" s="41"/>
      <c r="AF32" s="42"/>
    </row>
    <row r="33" spans="1:32" s="17" customFormat="1" ht="24.75" customHeight="1">
      <c r="A33" s="258" t="s">
        <v>55</v>
      </c>
      <c r="B33" s="260" t="s">
        <v>40</v>
      </c>
      <c r="C33" s="260"/>
      <c r="D33" s="260"/>
      <c r="E33" s="260"/>
      <c r="F33" s="261" t="str">
        <f>GetBugSheetName()</f>
        <v>Edit_Logout_</v>
      </c>
      <c r="G33" s="262"/>
      <c r="H33" s="60"/>
      <c r="I33" s="53"/>
      <c r="J33" s="53"/>
      <c r="K33" s="53"/>
      <c r="L33" s="53"/>
      <c r="M33" s="53"/>
      <c r="N33" s="53"/>
      <c r="O33" s="53"/>
      <c r="P33" s="53"/>
      <c r="Q33" s="53"/>
      <c r="R33" s="53"/>
      <c r="S33" s="53"/>
      <c r="T33" s="53"/>
      <c r="U33" s="53"/>
      <c r="V33" s="53"/>
      <c r="W33" s="53"/>
      <c r="X33" s="53"/>
      <c r="Y33" s="53"/>
      <c r="Z33" s="53"/>
      <c r="AA33" s="53"/>
      <c r="AB33" s="53"/>
      <c r="AC33" s="53"/>
      <c r="AD33" s="53"/>
      <c r="AE33" s="53"/>
      <c r="AF33" s="54"/>
    </row>
    <row r="34" spans="1:32" s="17" customFormat="1" ht="36" customHeight="1" thickBot="1">
      <c r="A34" s="259"/>
      <c r="B34" s="246" t="s">
        <v>41</v>
      </c>
      <c r="C34" s="247"/>
      <c r="D34" s="247"/>
      <c r="E34" s="248"/>
      <c r="F34" s="246"/>
      <c r="G34" s="263"/>
      <c r="H34" s="61"/>
      <c r="I34" s="55"/>
      <c r="J34" s="55"/>
      <c r="K34" s="55"/>
      <c r="L34" s="55"/>
      <c r="M34" s="55"/>
      <c r="N34" s="55"/>
      <c r="O34" s="55"/>
      <c r="P34" s="55"/>
      <c r="Q34" s="55"/>
      <c r="R34" s="55"/>
      <c r="S34" s="55" t="str">
        <f t="shared" ref="S34:AF34" si="1">IF(S33="","",(SUM(LEN(S33)-LEN(SUBSTITUTE(S33,",","")))/LEN(",")) + 1 )</f>
        <v/>
      </c>
      <c r="T34" s="55" t="str">
        <f t="shared" si="1"/>
        <v/>
      </c>
      <c r="U34" s="55" t="str">
        <f t="shared" si="1"/>
        <v/>
      </c>
      <c r="V34" s="55" t="str">
        <f t="shared" si="1"/>
        <v/>
      </c>
      <c r="W34" s="55" t="str">
        <f t="shared" si="1"/>
        <v/>
      </c>
      <c r="X34" s="55" t="str">
        <f t="shared" si="1"/>
        <v/>
      </c>
      <c r="Y34" s="55" t="str">
        <f t="shared" si="1"/>
        <v/>
      </c>
      <c r="Z34" s="55" t="str">
        <f t="shared" si="1"/>
        <v/>
      </c>
      <c r="AA34" s="55" t="str">
        <f t="shared" si="1"/>
        <v/>
      </c>
      <c r="AB34" s="55" t="str">
        <f t="shared" si="1"/>
        <v/>
      </c>
      <c r="AC34" s="55" t="str">
        <f t="shared" si="1"/>
        <v/>
      </c>
      <c r="AD34" s="55" t="str">
        <f t="shared" si="1"/>
        <v/>
      </c>
      <c r="AE34" s="55" t="str">
        <f t="shared" si="1"/>
        <v/>
      </c>
      <c r="AF34" s="56" t="str">
        <f t="shared" si="1"/>
        <v/>
      </c>
    </row>
    <row r="35" spans="1:32" s="17" customFormat="1">
      <c r="H35" s="47"/>
      <c r="I35" s="47"/>
      <c r="J35" s="47"/>
      <c r="K35" s="47"/>
      <c r="L35" s="47"/>
      <c r="M35" s="47"/>
      <c r="N35" s="48"/>
      <c r="O35" s="49"/>
      <c r="P35" s="47"/>
      <c r="Q35" s="47"/>
      <c r="R35" s="47"/>
      <c r="S35" s="47"/>
      <c r="T35" s="47"/>
      <c r="U35" s="47"/>
      <c r="V35" s="47"/>
    </row>
  </sheetData>
  <sheetProtection insertRows="0"/>
  <protectedRanges>
    <protectedRange sqref="H30:AF33 P29:AF29" name="Range3_1_1"/>
    <protectedRange sqref="H4:AF4 P5:AF28" name="Range2_1_1"/>
    <protectedRange sqref="E5:G7 C5:D5 C6:C7 B5:B14 C8:G14" name="Range2_1_2"/>
    <protectedRange sqref="C15:G15 B15:B28" name="Range2_1_5"/>
    <protectedRange sqref="D16:G16 C16:C19" name="Range2_1_8_3"/>
    <protectedRange sqref="D17:G17" name="Range2_1_9_2"/>
    <protectedRange sqref="D18:G19" name="Range2_1_10_2"/>
    <protectedRange sqref="C20:G23" name="Range2_1_11_3"/>
    <protectedRange sqref="C24:G27" name="Range2_1_12_2"/>
    <protectedRange sqref="C28:G28" name="Range2_1_8_1_2"/>
    <protectedRange sqref="H29:O29" name="Range3_1_1_1"/>
    <protectedRange sqref="H8:I14 M6:N7 H22:O22 J8:M8 O12:O13 H15:M16 J10:J14 N8:N11 L9 K14:M14 M24 N24:N26 J17:M17 I24:K28 O24:O27 N15:O21" name="Range2_1_1_1"/>
    <protectedRange sqref="H5" name="Range2_1_2_1"/>
    <protectedRange sqref="H7 I5" name="Range2_1_3_2"/>
    <protectedRange sqref="I6 J5" name="Range2_1_4_1"/>
    <protectedRange sqref="J6:J7 K5" name="Range2_1_5_1"/>
    <protectedRange sqref="K6:K7 L5" name="Range2_1_6"/>
    <protectedRange sqref="I7 H6 M5:N5 L12:M13 L6:L7 O28 J9 K10:K13 L19:L21 H23:O23 N13 N14:O14 H17:I17 H25:H28 M25:M28 N27:N28 H18:K21" name="Range2_1_7"/>
    <protectedRange sqref="O5" name="Range2_1_1_2"/>
    <protectedRange sqref="B1:O1 P2 T1 B2:E2" name="Range1_1_1"/>
    <protectedRange sqref="P2 AC2:AF2" name="Range1_1_1_1"/>
    <protectedRange sqref="AC1:AF1" name="Range1_1_1_2"/>
  </protectedRanges>
  <mergeCells count="53">
    <mergeCell ref="B16:B28"/>
    <mergeCell ref="C17:C19"/>
    <mergeCell ref="D17:G17"/>
    <mergeCell ref="D18:G18"/>
    <mergeCell ref="D19:G19"/>
    <mergeCell ref="C20:G20"/>
    <mergeCell ref="D21:G21"/>
    <mergeCell ref="C22:G22"/>
    <mergeCell ref="D23:G23"/>
    <mergeCell ref="C24:G24"/>
    <mergeCell ref="A15:A28"/>
    <mergeCell ref="B15:G15"/>
    <mergeCell ref="C16:G16"/>
    <mergeCell ref="B6:B14"/>
    <mergeCell ref="C7:G7"/>
    <mergeCell ref="C8:G8"/>
    <mergeCell ref="C9:C11"/>
    <mergeCell ref="D9:G9"/>
    <mergeCell ref="D11:G11"/>
    <mergeCell ref="C28:G28"/>
    <mergeCell ref="C13:G13"/>
    <mergeCell ref="C14:G14"/>
    <mergeCell ref="D25:G25"/>
    <mergeCell ref="C26:G26"/>
    <mergeCell ref="C12:G12"/>
    <mergeCell ref="D27:G27"/>
    <mergeCell ref="P2:Z2"/>
    <mergeCell ref="AA2:AB2"/>
    <mergeCell ref="D10:G10"/>
    <mergeCell ref="AA1:AB1"/>
    <mergeCell ref="AC1:AF1"/>
    <mergeCell ref="AC2:AF2"/>
    <mergeCell ref="P1:S1"/>
    <mergeCell ref="T1:Z1"/>
    <mergeCell ref="A4:A14"/>
    <mergeCell ref="B4:G4"/>
    <mergeCell ref="B5:G5"/>
    <mergeCell ref="C6:G6"/>
    <mergeCell ref="B1:E1"/>
    <mergeCell ref="F1:O1"/>
    <mergeCell ref="B2:E2"/>
    <mergeCell ref="I2:O2"/>
    <mergeCell ref="F2:H2"/>
    <mergeCell ref="A29:A32"/>
    <mergeCell ref="B29:F29"/>
    <mergeCell ref="B30:F30"/>
    <mergeCell ref="B31:F31"/>
    <mergeCell ref="A33:A34"/>
    <mergeCell ref="B33:E33"/>
    <mergeCell ref="F33:G33"/>
    <mergeCell ref="B34:E34"/>
    <mergeCell ref="F34:G34"/>
    <mergeCell ref="B32:F32"/>
  </mergeCells>
  <phoneticPr fontId="3"/>
  <conditionalFormatting sqref="H3:AF34">
    <cfRule type="expression" dxfId="101" priority="3" stopIfTrue="1">
      <formula>H$32="NA"</formula>
    </cfRule>
    <cfRule type="expression" dxfId="100" priority="4" stopIfTrue="1">
      <formula>H$32="NG"</formula>
    </cfRule>
  </conditionalFormatting>
  <dataValidations count="10">
    <dataValidation type="list" allowBlank="1" showInputMessage="1" showErrorMessage="1" sqref="H29:AF29">
      <formula1>"N, A, B"</formula1>
    </dataValidation>
    <dataValidation type="list" allowBlank="1" showInputMessage="1" showErrorMessage="1" sqref="H32:AF32">
      <formula1>"OK, NG, NA, PT"</formula1>
    </dataValidation>
    <dataValidation allowBlank="1" showInputMessage="1" showErrorMessage="1" promptTitle="PCL sheet name" prompt=" " sqref="F33:G33"/>
    <dataValidation allowBlank="1" showInputMessage="1" showErrorMessage="1" promptTitle="Bug ID" prompt="Unique ID throughout the project._x000a_For every Bug found during Test as well as Re-Test, a new Bug ID needs to be entered here (as a comma seperated value)" sqref="B33:E33"/>
    <dataValidation allowBlank="1" showInputMessage="1" showErrorMessage="1" promptTitle="Test Result" prompt="OK : Result is OK      _x000a_NG : Result is not as expected_x000a_NA : Not Applicable      _x000a_PT : Testing Pending (as Data not available/ cannot be generated currently)" sqref="G32"/>
    <dataValidation allowBlank="1" showInputMessage="1" showErrorMessage="1" promptTitle="Testing Date" prompt="Date on which test was performed in yyyy/mm/dd format" sqref="G31"/>
    <dataValidation allowBlank="1" showInputMessage="1" showErrorMessage="1" promptTitle="Enter" prompt="Name of the person who performed the test" sqref="G30"/>
    <dataValidation allowBlank="1" showInputMessage="1" showErrorMessage="1" promptTitle="Condition Type" prompt="N : Normal _x000a_A : Abnormal _x000a_B : Boundary" sqref="G29"/>
    <dataValidation allowBlank="1" showInputMessage="1" showErrorMessage="1" promptTitle="Input conditions" prompt="that need to be checked." sqref="A4:A14"/>
    <dataValidation allowBlank="1" showInputMessage="1" showErrorMessage="1" promptTitle="Check points" prompt="that need / need not be executed" sqref="A15:A28"/>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3"/>
  <dimension ref="A1:AF44"/>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V10" sqref="V10"/>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84</v>
      </c>
      <c r="J2" s="247"/>
      <c r="K2" s="247"/>
      <c r="L2" s="247"/>
      <c r="M2" s="247"/>
      <c r="N2" s="247"/>
      <c r="O2" s="248"/>
      <c r="P2" s="243"/>
      <c r="Q2" s="244"/>
      <c r="R2" s="244"/>
      <c r="S2" s="244"/>
      <c r="T2" s="244"/>
      <c r="U2" s="244"/>
      <c r="V2" s="244"/>
      <c r="W2" s="244"/>
      <c r="X2" s="244"/>
      <c r="Y2" s="244"/>
      <c r="Z2" s="245"/>
      <c r="AA2" s="255" t="s">
        <v>289</v>
      </c>
      <c r="AB2" s="256"/>
      <c r="AC2" s="243" t="s">
        <v>229</v>
      </c>
      <c r="AD2" s="244"/>
      <c r="AE2" s="244"/>
      <c r="AF2" s="257"/>
    </row>
    <row r="3" spans="1:32" ht="37.5" customHeight="1" thickBot="1">
      <c r="A3" s="66" t="s">
        <v>43</v>
      </c>
      <c r="B3" s="10"/>
      <c r="C3" s="10"/>
      <c r="D3" s="10"/>
      <c r="E3" s="10"/>
      <c r="F3" s="10"/>
      <c r="G3" s="65" t="s">
        <v>44</v>
      </c>
      <c r="H3" s="11">
        <f>IF(COUNTA(H4:H38)&gt;0,1,"")</f>
        <v>1</v>
      </c>
      <c r="I3" s="12">
        <f t="shared" ref="I3:AF3" si="0">IF(COUNTA(I4:I38)&gt;0,IF(H3&gt;0,H3+1,""),"")</f>
        <v>2</v>
      </c>
      <c r="J3" s="12">
        <f t="shared" si="0"/>
        <v>3</v>
      </c>
      <c r="K3" s="12">
        <f t="shared" si="0"/>
        <v>4</v>
      </c>
      <c r="L3" s="12">
        <f t="shared" si="0"/>
        <v>5</v>
      </c>
      <c r="M3" s="12">
        <f t="shared" si="0"/>
        <v>6</v>
      </c>
      <c r="N3" s="12">
        <f t="shared" si="0"/>
        <v>7</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230" t="s">
        <v>291</v>
      </c>
      <c r="C4" s="230"/>
      <c r="D4" s="230"/>
      <c r="E4" s="230"/>
      <c r="F4" s="230"/>
      <c r="G4" s="287"/>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85</v>
      </c>
      <c r="C5" s="235"/>
      <c r="D5" s="235"/>
      <c r="E5" s="235"/>
      <c r="F5" s="235"/>
      <c r="G5" s="264"/>
      <c r="H5" s="23" t="s">
        <v>80</v>
      </c>
      <c r="I5" s="23" t="s">
        <v>80</v>
      </c>
      <c r="J5" s="23" t="s">
        <v>80</v>
      </c>
      <c r="K5" s="23" t="s">
        <v>80</v>
      </c>
      <c r="L5" s="23" t="s">
        <v>80</v>
      </c>
      <c r="M5" s="23" t="s">
        <v>80</v>
      </c>
      <c r="N5" s="23" t="s">
        <v>80</v>
      </c>
      <c r="O5" s="19"/>
      <c r="P5" s="19"/>
      <c r="Q5" s="19"/>
      <c r="R5" s="19"/>
      <c r="S5" s="19"/>
      <c r="T5" s="19"/>
      <c r="U5" s="19"/>
      <c r="V5" s="19"/>
      <c r="W5" s="19"/>
      <c r="X5" s="19"/>
      <c r="Y5" s="19"/>
      <c r="Z5" s="19"/>
      <c r="AA5" s="19"/>
      <c r="AB5" s="19"/>
      <c r="AC5" s="19"/>
      <c r="AD5" s="19"/>
      <c r="AE5" s="19"/>
      <c r="AF5" s="20"/>
    </row>
    <row r="6" spans="1:32" s="17" customFormat="1" ht="13.5" customHeight="1">
      <c r="A6" s="233"/>
      <c r="B6" s="277"/>
      <c r="C6" s="268" t="s">
        <v>57</v>
      </c>
      <c r="D6" s="268"/>
      <c r="E6" s="268"/>
      <c r="F6" s="268"/>
      <c r="G6" s="288"/>
      <c r="H6" s="22"/>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233"/>
      <c r="B7" s="238"/>
      <c r="C7" s="277"/>
      <c r="D7" s="289" t="s">
        <v>72</v>
      </c>
      <c r="E7" s="290"/>
      <c r="F7" s="290"/>
      <c r="G7" s="291"/>
      <c r="H7" s="22" t="s">
        <v>80</v>
      </c>
      <c r="I7" s="23"/>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233"/>
      <c r="B8" s="238"/>
      <c r="C8" s="238"/>
      <c r="D8" s="292" t="s">
        <v>86</v>
      </c>
      <c r="E8" s="293"/>
      <c r="F8" s="293"/>
      <c r="G8" s="294"/>
      <c r="H8" s="22"/>
      <c r="I8" s="23" t="s">
        <v>80</v>
      </c>
      <c r="J8" s="23" t="s">
        <v>80</v>
      </c>
      <c r="K8" s="23"/>
      <c r="L8" s="23"/>
      <c r="M8" s="23" t="s">
        <v>80</v>
      </c>
      <c r="N8" s="23"/>
      <c r="O8" s="23"/>
      <c r="P8" s="23"/>
      <c r="Q8" s="23"/>
      <c r="R8" s="23"/>
      <c r="S8" s="23"/>
      <c r="T8" s="23"/>
      <c r="U8" s="23"/>
      <c r="V8" s="23"/>
      <c r="W8" s="23"/>
      <c r="X8" s="23"/>
      <c r="Y8" s="23"/>
      <c r="Z8" s="23"/>
      <c r="AA8" s="23"/>
      <c r="AB8" s="23"/>
      <c r="AC8" s="23"/>
      <c r="AD8" s="23"/>
      <c r="AE8" s="23"/>
      <c r="AF8" s="24"/>
    </row>
    <row r="9" spans="1:32" s="17" customFormat="1" ht="13.5" customHeight="1">
      <c r="A9" s="233"/>
      <c r="B9" s="238"/>
      <c r="C9" s="278"/>
      <c r="D9" s="297" t="s">
        <v>87</v>
      </c>
      <c r="E9" s="297"/>
      <c r="F9" s="297"/>
      <c r="G9" s="298"/>
      <c r="H9" s="88"/>
      <c r="I9" s="23"/>
      <c r="J9" s="23"/>
      <c r="K9" s="23" t="s">
        <v>80</v>
      </c>
      <c r="L9" s="23" t="s">
        <v>80</v>
      </c>
      <c r="M9" s="23"/>
      <c r="N9" s="23" t="s">
        <v>80</v>
      </c>
      <c r="O9" s="23"/>
      <c r="P9" s="23"/>
      <c r="Q9" s="23"/>
      <c r="R9" s="23"/>
      <c r="S9" s="23"/>
      <c r="T9" s="23"/>
      <c r="U9" s="23"/>
      <c r="V9" s="23"/>
      <c r="W9" s="23"/>
      <c r="X9" s="23"/>
      <c r="Y9" s="23"/>
      <c r="Z9" s="23"/>
      <c r="AA9" s="23"/>
      <c r="AB9" s="23"/>
      <c r="AC9" s="23"/>
      <c r="AD9" s="23"/>
      <c r="AE9" s="23"/>
      <c r="AF9" s="24"/>
    </row>
    <row r="10" spans="1:32" s="17" customFormat="1" ht="13.5" customHeight="1">
      <c r="A10" s="233"/>
      <c r="B10" s="238"/>
      <c r="C10" s="234" t="s">
        <v>58</v>
      </c>
      <c r="D10" s="237"/>
      <c r="E10" s="237"/>
      <c r="F10" s="237"/>
      <c r="G10" s="304"/>
      <c r="H10" s="22"/>
      <c r="I10" s="23"/>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233"/>
      <c r="B11" s="238"/>
      <c r="C11" s="238"/>
      <c r="D11" s="289" t="s">
        <v>72</v>
      </c>
      <c r="E11" s="295"/>
      <c r="F11" s="295"/>
      <c r="G11" s="296"/>
      <c r="H11" s="22" t="s">
        <v>80</v>
      </c>
      <c r="I11" s="23" t="s">
        <v>80</v>
      </c>
      <c r="J11" s="23"/>
      <c r="K11" s="23"/>
      <c r="L11" s="23"/>
      <c r="M11" s="23"/>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233"/>
      <c r="B12" s="238"/>
      <c r="C12" s="238"/>
      <c r="D12" s="297" t="s">
        <v>86</v>
      </c>
      <c r="E12" s="297"/>
      <c r="F12" s="297"/>
      <c r="G12" s="298"/>
      <c r="H12" s="88"/>
      <c r="I12" s="23"/>
      <c r="J12" s="23" t="s">
        <v>80</v>
      </c>
      <c r="K12" s="23" t="s">
        <v>80</v>
      </c>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233"/>
      <c r="B13" s="238"/>
      <c r="C13" s="238"/>
      <c r="D13" s="299" t="s">
        <v>88</v>
      </c>
      <c r="E13" s="300"/>
      <c r="F13" s="300"/>
      <c r="G13" s="301"/>
      <c r="H13" s="22"/>
      <c r="I13" s="23"/>
      <c r="J13" s="23"/>
      <c r="K13" s="23"/>
      <c r="L13" s="23" t="s">
        <v>80</v>
      </c>
      <c r="M13" s="23" t="s">
        <v>80</v>
      </c>
      <c r="N13" s="23"/>
      <c r="O13" s="23"/>
      <c r="P13" s="23"/>
      <c r="Q13" s="23"/>
      <c r="R13" s="23"/>
      <c r="S13" s="23"/>
      <c r="T13" s="23"/>
      <c r="U13" s="23"/>
      <c r="V13" s="23"/>
      <c r="W13" s="23"/>
      <c r="X13" s="23"/>
      <c r="Y13" s="23"/>
      <c r="Z13" s="23"/>
      <c r="AA13" s="23"/>
      <c r="AB13" s="23"/>
      <c r="AC13" s="23"/>
      <c r="AD13" s="23"/>
      <c r="AE13" s="23"/>
      <c r="AF13" s="24"/>
    </row>
    <row r="14" spans="1:32" s="17" customFormat="1" ht="13.5" customHeight="1">
      <c r="A14" s="233"/>
      <c r="B14" s="238"/>
      <c r="C14" s="302" t="s">
        <v>89</v>
      </c>
      <c r="D14" s="290"/>
      <c r="E14" s="290"/>
      <c r="F14" s="290"/>
      <c r="G14" s="291"/>
      <c r="H14" s="22" t="s">
        <v>80</v>
      </c>
      <c r="I14" s="23" t="s">
        <v>80</v>
      </c>
      <c r="J14" s="23" t="s">
        <v>80</v>
      </c>
      <c r="K14" s="23" t="s">
        <v>80</v>
      </c>
      <c r="L14" s="23" t="s">
        <v>80</v>
      </c>
      <c r="M14" s="23" t="s">
        <v>80</v>
      </c>
      <c r="N14" s="23" t="s">
        <v>80</v>
      </c>
      <c r="O14" s="23"/>
      <c r="P14" s="23"/>
      <c r="Q14" s="23"/>
      <c r="R14" s="23"/>
      <c r="S14" s="23"/>
      <c r="T14" s="23"/>
      <c r="U14" s="23"/>
      <c r="V14" s="23"/>
      <c r="W14" s="23"/>
      <c r="X14" s="23"/>
      <c r="Y14" s="23"/>
      <c r="Z14" s="23"/>
      <c r="AA14" s="23"/>
      <c r="AB14" s="23"/>
      <c r="AC14" s="23"/>
      <c r="AD14" s="23"/>
      <c r="AE14" s="23"/>
      <c r="AF14" s="24"/>
    </row>
    <row r="15" spans="1:32" s="17" customFormat="1" ht="13.5" customHeight="1">
      <c r="A15" s="233"/>
      <c r="B15" s="238"/>
      <c r="C15" s="302" t="s">
        <v>90</v>
      </c>
      <c r="D15" s="290"/>
      <c r="E15" s="290"/>
      <c r="F15" s="290"/>
      <c r="G15" s="291"/>
      <c r="H15" s="22"/>
      <c r="I15" s="23"/>
      <c r="J15" s="23"/>
      <c r="K15" s="23"/>
      <c r="L15" s="23"/>
      <c r="M15" s="23"/>
      <c r="N15" s="23"/>
      <c r="O15" s="23"/>
      <c r="P15" s="23"/>
      <c r="Q15" s="23"/>
      <c r="R15" s="23"/>
      <c r="S15" s="23"/>
      <c r="T15" s="23"/>
      <c r="U15" s="23"/>
      <c r="V15" s="23"/>
      <c r="W15" s="23"/>
      <c r="X15" s="23"/>
      <c r="Y15" s="23"/>
      <c r="Z15" s="23"/>
      <c r="AA15" s="23"/>
      <c r="AB15" s="23"/>
      <c r="AC15" s="23"/>
      <c r="AD15" s="23"/>
      <c r="AE15" s="23"/>
      <c r="AF15" s="24"/>
    </row>
    <row r="16" spans="1:32" s="17" customFormat="1" ht="13.5" customHeight="1" thickBot="1">
      <c r="A16" s="233"/>
      <c r="B16" s="274"/>
      <c r="C16" s="93"/>
      <c r="D16" s="303" t="s">
        <v>65</v>
      </c>
      <c r="E16" s="303"/>
      <c r="F16" s="303"/>
      <c r="G16" s="292"/>
      <c r="H16" s="22"/>
      <c r="I16" s="23"/>
      <c r="J16" s="23"/>
      <c r="K16" s="23"/>
      <c r="L16" s="23"/>
      <c r="M16" s="23"/>
      <c r="N16" s="23" t="s">
        <v>80</v>
      </c>
      <c r="O16" s="23"/>
      <c r="P16" s="23"/>
      <c r="Q16" s="23"/>
      <c r="R16" s="23"/>
      <c r="S16" s="23"/>
      <c r="T16" s="23"/>
      <c r="U16" s="23"/>
      <c r="V16" s="23"/>
      <c r="W16" s="23"/>
      <c r="X16" s="23"/>
      <c r="Y16" s="23"/>
      <c r="Z16" s="23"/>
      <c r="AA16" s="23"/>
      <c r="AB16" s="23"/>
      <c r="AC16" s="23"/>
      <c r="AD16" s="23"/>
      <c r="AE16" s="23"/>
      <c r="AF16" s="24"/>
    </row>
    <row r="17" spans="1:32" s="17" customFormat="1" ht="13.5" customHeight="1">
      <c r="A17" s="226" t="s">
        <v>46</v>
      </c>
      <c r="B17" s="229" t="s">
        <v>66</v>
      </c>
      <c r="C17" s="230"/>
      <c r="D17" s="230"/>
      <c r="E17" s="230"/>
      <c r="F17" s="230"/>
      <c r="G17" s="287"/>
      <c r="H17" s="25"/>
      <c r="I17" s="26"/>
      <c r="J17" s="26"/>
      <c r="K17" s="26"/>
      <c r="L17" s="26"/>
      <c r="M17" s="26"/>
      <c r="N17" s="26"/>
      <c r="O17" s="26"/>
      <c r="P17" s="26"/>
      <c r="Q17" s="26"/>
      <c r="R17" s="26"/>
      <c r="S17" s="26"/>
      <c r="T17" s="26"/>
      <c r="U17" s="26"/>
      <c r="V17" s="26"/>
      <c r="W17" s="26"/>
      <c r="X17" s="26"/>
      <c r="Y17" s="26"/>
      <c r="Z17" s="26"/>
      <c r="AA17" s="26"/>
      <c r="AB17" s="26"/>
      <c r="AC17" s="26"/>
      <c r="AD17" s="26"/>
      <c r="AE17" s="26"/>
      <c r="AF17" s="27"/>
    </row>
    <row r="18" spans="1:32" s="17" customFormat="1" ht="13.5" customHeight="1">
      <c r="A18" s="227"/>
      <c r="B18" s="277"/>
      <c r="C18" s="216" t="s">
        <v>91</v>
      </c>
      <c r="D18" s="217"/>
      <c r="E18" s="217"/>
      <c r="F18" s="217"/>
      <c r="G18" s="273"/>
      <c r="H18" s="22"/>
      <c r="I18" s="23"/>
      <c r="J18" s="23"/>
      <c r="K18" s="23"/>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227"/>
      <c r="B19" s="238"/>
      <c r="C19" s="306"/>
      <c r="D19" s="283" t="s">
        <v>92</v>
      </c>
      <c r="E19" s="283"/>
      <c r="F19" s="283"/>
      <c r="G19" s="309"/>
      <c r="H19" s="22" t="s">
        <v>80</v>
      </c>
      <c r="I19" s="23"/>
      <c r="J19" s="23"/>
      <c r="K19" s="23"/>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227"/>
      <c r="B20" s="238"/>
      <c r="C20" s="307"/>
      <c r="D20" s="283" t="s">
        <v>93</v>
      </c>
      <c r="E20" s="283"/>
      <c r="F20" s="283"/>
      <c r="G20" s="309"/>
      <c r="H20" s="22"/>
      <c r="I20" s="23" t="s">
        <v>80</v>
      </c>
      <c r="J20" s="23"/>
      <c r="K20" s="23"/>
      <c r="L20" s="23"/>
      <c r="M20" s="23"/>
      <c r="N20" s="23"/>
      <c r="O20" s="23"/>
      <c r="P20" s="23"/>
      <c r="Q20" s="23"/>
      <c r="R20" s="23"/>
      <c r="S20" s="23"/>
      <c r="T20" s="23"/>
      <c r="U20" s="23"/>
      <c r="V20" s="23"/>
      <c r="W20" s="23"/>
      <c r="X20" s="23"/>
      <c r="Y20" s="23"/>
      <c r="Z20" s="23"/>
      <c r="AA20" s="23"/>
      <c r="AB20" s="23"/>
      <c r="AC20" s="23"/>
      <c r="AD20" s="23"/>
      <c r="AE20" s="23"/>
      <c r="AF20" s="24"/>
    </row>
    <row r="21" spans="1:32" s="17" customFormat="1" ht="13.5" customHeight="1">
      <c r="A21" s="227"/>
      <c r="B21" s="238"/>
      <c r="C21" s="308"/>
      <c r="D21" s="283" t="s">
        <v>94</v>
      </c>
      <c r="E21" s="283"/>
      <c r="F21" s="283"/>
      <c r="G21" s="309"/>
      <c r="H21" s="22"/>
      <c r="I21" s="23"/>
      <c r="J21" s="23" t="s">
        <v>80</v>
      </c>
      <c r="K21" s="23" t="s">
        <v>80</v>
      </c>
      <c r="L21" s="23"/>
      <c r="M21" s="23" t="s">
        <v>80</v>
      </c>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227"/>
      <c r="B22" s="238"/>
      <c r="C22" s="216" t="s">
        <v>95</v>
      </c>
      <c r="D22" s="217"/>
      <c r="E22" s="217"/>
      <c r="F22" s="217"/>
      <c r="G22" s="273"/>
      <c r="H22" s="29"/>
      <c r="I22" s="30"/>
      <c r="J22" s="30"/>
      <c r="K22" s="30"/>
      <c r="L22" s="30" t="s">
        <v>80</v>
      </c>
      <c r="M22" s="30"/>
      <c r="N22" s="30"/>
      <c r="O22" s="23"/>
      <c r="P22" s="23"/>
      <c r="Q22" s="23"/>
      <c r="R22" s="23"/>
      <c r="S22" s="23"/>
      <c r="T22" s="23"/>
      <c r="U22" s="23"/>
      <c r="V22" s="23"/>
      <c r="W22" s="23"/>
      <c r="X22" s="23"/>
      <c r="Y22" s="23"/>
      <c r="Z22" s="23"/>
      <c r="AA22" s="23"/>
      <c r="AB22" s="23"/>
      <c r="AC22" s="23"/>
      <c r="AD22" s="23"/>
      <c r="AE22" s="23"/>
      <c r="AF22" s="24"/>
    </row>
    <row r="23" spans="1:32" s="17" customFormat="1" ht="13.5" customHeight="1">
      <c r="A23" s="227"/>
      <c r="B23" s="238"/>
      <c r="C23" s="283" t="s">
        <v>96</v>
      </c>
      <c r="D23" s="283"/>
      <c r="E23" s="283"/>
      <c r="F23" s="283"/>
      <c r="G23" s="309"/>
      <c r="H23" s="29"/>
      <c r="I23" s="30"/>
      <c r="J23" s="30"/>
      <c r="K23" s="30"/>
      <c r="L23" s="30"/>
      <c r="M23" s="30"/>
      <c r="N23" s="30"/>
      <c r="O23" s="23"/>
      <c r="P23" s="23"/>
      <c r="Q23" s="23"/>
      <c r="R23" s="23"/>
      <c r="S23" s="23"/>
      <c r="T23" s="23"/>
      <c r="U23" s="23"/>
      <c r="V23" s="23"/>
      <c r="W23" s="23"/>
      <c r="X23" s="23"/>
      <c r="Y23" s="23"/>
      <c r="Z23" s="23"/>
      <c r="AA23" s="23"/>
      <c r="AB23" s="23"/>
      <c r="AC23" s="23"/>
      <c r="AD23" s="23"/>
      <c r="AE23" s="23"/>
      <c r="AF23" s="24"/>
    </row>
    <row r="24" spans="1:32" s="17" customFormat="1" ht="13.5" customHeight="1">
      <c r="A24" s="227"/>
      <c r="B24" s="238"/>
      <c r="C24" s="284"/>
      <c r="D24" s="216" t="s">
        <v>97</v>
      </c>
      <c r="E24" s="217"/>
      <c r="F24" s="217"/>
      <c r="G24" s="273"/>
      <c r="H24" s="29"/>
      <c r="I24" s="30"/>
      <c r="J24" s="30"/>
      <c r="K24" s="30"/>
      <c r="L24" s="30" t="s">
        <v>80</v>
      </c>
      <c r="M24" s="30"/>
      <c r="N24" s="30"/>
      <c r="O24" s="23"/>
      <c r="P24" s="23"/>
      <c r="Q24" s="23"/>
      <c r="R24" s="23"/>
      <c r="S24" s="23"/>
      <c r="T24" s="23"/>
      <c r="U24" s="23"/>
      <c r="V24" s="23"/>
      <c r="W24" s="23"/>
      <c r="X24" s="23"/>
      <c r="Y24" s="23"/>
      <c r="Z24" s="23"/>
      <c r="AA24" s="23"/>
      <c r="AB24" s="23"/>
      <c r="AC24" s="23"/>
      <c r="AD24" s="23"/>
      <c r="AE24" s="23"/>
      <c r="AF24" s="24"/>
    </row>
    <row r="25" spans="1:32" s="17" customFormat="1" ht="13.5" customHeight="1">
      <c r="A25" s="227"/>
      <c r="B25" s="238"/>
      <c r="C25" s="285"/>
      <c r="D25" s="216" t="s">
        <v>98</v>
      </c>
      <c r="E25" s="217"/>
      <c r="F25" s="217"/>
      <c r="G25" s="273"/>
      <c r="H25" s="29"/>
      <c r="I25" s="30"/>
      <c r="J25" s="30"/>
      <c r="K25" s="30"/>
      <c r="L25" s="30" t="s">
        <v>80</v>
      </c>
      <c r="M25" s="30"/>
      <c r="N25" s="30"/>
      <c r="O25" s="23"/>
      <c r="P25" s="23"/>
      <c r="Q25" s="23"/>
      <c r="R25" s="23"/>
      <c r="S25" s="23"/>
      <c r="T25" s="23"/>
      <c r="U25" s="23"/>
      <c r="V25" s="23"/>
      <c r="W25" s="23"/>
      <c r="X25" s="23"/>
      <c r="Y25" s="23"/>
      <c r="Z25" s="23"/>
      <c r="AA25" s="23"/>
      <c r="AB25" s="23"/>
      <c r="AC25" s="23"/>
      <c r="AD25" s="23"/>
      <c r="AE25" s="23"/>
      <c r="AF25" s="24"/>
    </row>
    <row r="26" spans="1:32" s="17" customFormat="1" ht="13.5" customHeight="1">
      <c r="A26" s="227"/>
      <c r="B26" s="238"/>
      <c r="C26" s="285"/>
      <c r="D26" s="216" t="s">
        <v>99</v>
      </c>
      <c r="E26" s="217"/>
      <c r="F26" s="217"/>
      <c r="G26" s="273"/>
      <c r="H26" s="29"/>
      <c r="I26" s="30"/>
      <c r="J26" s="30"/>
      <c r="K26" s="30"/>
      <c r="L26" s="30" t="s">
        <v>80</v>
      </c>
      <c r="M26" s="30"/>
      <c r="N26" s="30"/>
      <c r="O26" s="23"/>
      <c r="P26" s="23"/>
      <c r="Q26" s="23"/>
      <c r="R26" s="23"/>
      <c r="S26" s="23"/>
      <c r="T26" s="23"/>
      <c r="U26" s="23"/>
      <c r="V26" s="23"/>
      <c r="W26" s="23"/>
      <c r="X26" s="23"/>
      <c r="Y26" s="23"/>
      <c r="Z26" s="23"/>
      <c r="AA26" s="23"/>
      <c r="AB26" s="23"/>
      <c r="AC26" s="23"/>
      <c r="AD26" s="23"/>
      <c r="AE26" s="23"/>
      <c r="AF26" s="24"/>
    </row>
    <row r="27" spans="1:32" s="17" customFormat="1" ht="13.5" customHeight="1">
      <c r="A27" s="227"/>
      <c r="B27" s="238"/>
      <c r="C27" s="285"/>
      <c r="D27" s="216" t="s">
        <v>100</v>
      </c>
      <c r="E27" s="217"/>
      <c r="F27" s="217"/>
      <c r="G27" s="273"/>
      <c r="H27" s="29"/>
      <c r="I27" s="30"/>
      <c r="J27" s="30"/>
      <c r="K27" s="30"/>
      <c r="L27" s="30" t="s">
        <v>80</v>
      </c>
      <c r="M27" s="30"/>
      <c r="N27" s="30"/>
      <c r="O27" s="23"/>
      <c r="P27" s="23"/>
      <c r="Q27" s="23"/>
      <c r="R27" s="23"/>
      <c r="S27" s="23"/>
      <c r="T27" s="23"/>
      <c r="U27" s="23"/>
      <c r="V27" s="23"/>
      <c r="W27" s="23"/>
      <c r="X27" s="23"/>
      <c r="Y27" s="23"/>
      <c r="Z27" s="23"/>
      <c r="AA27" s="23"/>
      <c r="AB27" s="23"/>
      <c r="AC27" s="23"/>
      <c r="AD27" s="23"/>
      <c r="AE27" s="23"/>
      <c r="AF27" s="24"/>
    </row>
    <row r="28" spans="1:32" s="17" customFormat="1" ht="13.5" customHeight="1">
      <c r="A28" s="227"/>
      <c r="B28" s="238"/>
      <c r="C28" s="285"/>
      <c r="D28" s="216" t="s">
        <v>101</v>
      </c>
      <c r="E28" s="217"/>
      <c r="F28" s="217"/>
      <c r="G28" s="273"/>
      <c r="H28" s="29"/>
      <c r="I28" s="30"/>
      <c r="J28" s="30"/>
      <c r="K28" s="30"/>
      <c r="L28" s="30" t="s">
        <v>80</v>
      </c>
      <c r="M28" s="30"/>
      <c r="N28" s="30"/>
      <c r="O28" s="23"/>
      <c r="P28" s="23"/>
      <c r="Q28" s="23"/>
      <c r="R28" s="23"/>
      <c r="S28" s="23"/>
      <c r="T28" s="23"/>
      <c r="U28" s="23"/>
      <c r="V28" s="23"/>
      <c r="W28" s="23"/>
      <c r="X28" s="23"/>
      <c r="Y28" s="23"/>
      <c r="Z28" s="23"/>
      <c r="AA28" s="23"/>
      <c r="AB28" s="23"/>
      <c r="AC28" s="23"/>
      <c r="AD28" s="23"/>
      <c r="AE28" s="23"/>
      <c r="AF28" s="24"/>
    </row>
    <row r="29" spans="1:32" s="17" customFormat="1" ht="13.5" customHeight="1">
      <c r="A29" s="227"/>
      <c r="B29" s="238"/>
      <c r="C29" s="285"/>
      <c r="D29" s="216" t="s">
        <v>102</v>
      </c>
      <c r="E29" s="217"/>
      <c r="F29" s="217"/>
      <c r="G29" s="273"/>
      <c r="H29" s="29"/>
      <c r="I29" s="30"/>
      <c r="J29" s="30"/>
      <c r="K29" s="30"/>
      <c r="L29" s="30" t="s">
        <v>80</v>
      </c>
      <c r="M29" s="30"/>
      <c r="N29" s="30"/>
      <c r="O29" s="23"/>
      <c r="P29" s="23"/>
      <c r="Q29" s="23"/>
      <c r="R29" s="23"/>
      <c r="S29" s="23"/>
      <c r="T29" s="23"/>
      <c r="U29" s="23"/>
      <c r="V29" s="23"/>
      <c r="W29" s="23"/>
      <c r="X29" s="23"/>
      <c r="Y29" s="23"/>
      <c r="Z29" s="23"/>
      <c r="AA29" s="23"/>
      <c r="AB29" s="23"/>
      <c r="AC29" s="23"/>
      <c r="AD29" s="23"/>
      <c r="AE29" s="23"/>
      <c r="AF29" s="24"/>
    </row>
    <row r="30" spans="1:32" s="17" customFormat="1" ht="13.5" customHeight="1">
      <c r="A30" s="227"/>
      <c r="B30" s="238"/>
      <c r="C30" s="285"/>
      <c r="D30" s="216" t="s">
        <v>103</v>
      </c>
      <c r="E30" s="217"/>
      <c r="F30" s="217"/>
      <c r="G30" s="273"/>
      <c r="H30" s="29"/>
      <c r="I30" s="30"/>
      <c r="J30" s="30"/>
      <c r="K30" s="30"/>
      <c r="L30" s="30" t="s">
        <v>80</v>
      </c>
      <c r="M30" s="30"/>
      <c r="N30" s="30"/>
      <c r="O30" s="23"/>
      <c r="P30" s="23"/>
      <c r="Q30" s="23"/>
      <c r="R30" s="23"/>
      <c r="S30" s="23"/>
      <c r="T30" s="23"/>
      <c r="U30" s="23"/>
      <c r="V30" s="23"/>
      <c r="W30" s="23"/>
      <c r="X30" s="23"/>
      <c r="Y30" s="23"/>
      <c r="Z30" s="23"/>
      <c r="AA30" s="23"/>
      <c r="AB30" s="23"/>
      <c r="AC30" s="23"/>
      <c r="AD30" s="23"/>
      <c r="AE30" s="23"/>
      <c r="AF30" s="24"/>
    </row>
    <row r="31" spans="1:32" s="17" customFormat="1" ht="13.5" customHeight="1">
      <c r="A31" s="227"/>
      <c r="B31" s="238"/>
      <c r="C31" s="285"/>
      <c r="D31" s="216" t="s">
        <v>104</v>
      </c>
      <c r="E31" s="217"/>
      <c r="F31" s="217"/>
      <c r="G31" s="273"/>
      <c r="H31" s="29"/>
      <c r="I31" s="30"/>
      <c r="J31" s="30"/>
      <c r="K31" s="30"/>
      <c r="L31" s="30" t="s">
        <v>80</v>
      </c>
      <c r="M31" s="30"/>
      <c r="N31" s="30"/>
      <c r="O31" s="23"/>
      <c r="P31" s="23"/>
      <c r="Q31" s="23"/>
      <c r="R31" s="23"/>
      <c r="S31" s="23"/>
      <c r="T31" s="23"/>
      <c r="U31" s="23"/>
      <c r="V31" s="23"/>
      <c r="W31" s="23"/>
      <c r="X31" s="23"/>
      <c r="Y31" s="23"/>
      <c r="Z31" s="23"/>
      <c r="AA31" s="23"/>
      <c r="AB31" s="23"/>
      <c r="AC31" s="23"/>
      <c r="AD31" s="23"/>
      <c r="AE31" s="23"/>
      <c r="AF31" s="24"/>
    </row>
    <row r="32" spans="1:32" s="17" customFormat="1" ht="13.5" customHeight="1">
      <c r="A32" s="227"/>
      <c r="B32" s="238"/>
      <c r="C32" s="285"/>
      <c r="D32" s="216" t="s">
        <v>105</v>
      </c>
      <c r="E32" s="217"/>
      <c r="F32" s="217"/>
      <c r="G32" s="273"/>
      <c r="H32" s="29"/>
      <c r="I32" s="30"/>
      <c r="J32" s="30"/>
      <c r="K32" s="30"/>
      <c r="L32" s="30" t="s">
        <v>80</v>
      </c>
      <c r="M32" s="30"/>
      <c r="N32" s="30"/>
      <c r="O32" s="23"/>
      <c r="P32" s="23"/>
      <c r="Q32" s="23"/>
      <c r="R32" s="23"/>
      <c r="S32" s="23"/>
      <c r="T32" s="23"/>
      <c r="U32" s="23"/>
      <c r="V32" s="23"/>
      <c r="W32" s="23"/>
      <c r="X32" s="23"/>
      <c r="Y32" s="23"/>
      <c r="Z32" s="23"/>
      <c r="AA32" s="23"/>
      <c r="AB32" s="23"/>
      <c r="AC32" s="23"/>
      <c r="AD32" s="23"/>
      <c r="AE32" s="23"/>
      <c r="AF32" s="24"/>
    </row>
    <row r="33" spans="1:32" s="17" customFormat="1" ht="13.5" customHeight="1">
      <c r="A33" s="227"/>
      <c r="B33" s="238"/>
      <c r="C33" s="285"/>
      <c r="D33" s="216" t="s">
        <v>106</v>
      </c>
      <c r="E33" s="217"/>
      <c r="F33" s="217"/>
      <c r="G33" s="273"/>
      <c r="H33" s="29"/>
      <c r="I33" s="30"/>
      <c r="J33" s="30"/>
      <c r="K33" s="30"/>
      <c r="L33" s="30" t="s">
        <v>80</v>
      </c>
      <c r="M33" s="30"/>
      <c r="N33" s="30"/>
      <c r="O33" s="23"/>
      <c r="P33" s="23"/>
      <c r="Q33" s="23"/>
      <c r="R33" s="23"/>
      <c r="S33" s="23"/>
      <c r="T33" s="23"/>
      <c r="U33" s="23"/>
      <c r="V33" s="23"/>
      <c r="W33" s="23"/>
      <c r="X33" s="23"/>
      <c r="Y33" s="23"/>
      <c r="Z33" s="23"/>
      <c r="AA33" s="23"/>
      <c r="AB33" s="23"/>
      <c r="AC33" s="23"/>
      <c r="AD33" s="23"/>
      <c r="AE33" s="23"/>
      <c r="AF33" s="24"/>
    </row>
    <row r="34" spans="1:32" s="17" customFormat="1" ht="13.5" customHeight="1">
      <c r="A34" s="227"/>
      <c r="B34" s="238"/>
      <c r="C34" s="285"/>
      <c r="D34" s="214" t="s">
        <v>107</v>
      </c>
      <c r="E34" s="215"/>
      <c r="F34" s="215"/>
      <c r="G34" s="312"/>
      <c r="H34" s="29"/>
      <c r="I34" s="30"/>
      <c r="J34" s="30"/>
      <c r="K34" s="30"/>
      <c r="L34" s="30" t="s">
        <v>80</v>
      </c>
      <c r="M34" s="30"/>
      <c r="N34" s="30"/>
      <c r="O34" s="23"/>
      <c r="P34" s="23"/>
      <c r="Q34" s="23"/>
      <c r="R34" s="23"/>
      <c r="S34" s="23"/>
      <c r="T34" s="23"/>
      <c r="U34" s="23"/>
      <c r="V34" s="23"/>
      <c r="W34" s="23"/>
      <c r="X34" s="23"/>
      <c r="Y34" s="23"/>
      <c r="Z34" s="23"/>
      <c r="AA34" s="23"/>
      <c r="AB34" s="23"/>
      <c r="AC34" s="23"/>
      <c r="AD34" s="23"/>
      <c r="AE34" s="23"/>
      <c r="AF34" s="24"/>
    </row>
    <row r="35" spans="1:32" s="17" customFormat="1" ht="13.5" customHeight="1">
      <c r="A35" s="227"/>
      <c r="B35" s="238"/>
      <c r="C35" s="283" t="s">
        <v>108</v>
      </c>
      <c r="D35" s="283"/>
      <c r="E35" s="283"/>
      <c r="F35" s="283"/>
      <c r="G35" s="309"/>
      <c r="H35" s="102"/>
      <c r="I35" s="30"/>
      <c r="J35" s="30"/>
      <c r="K35" s="30"/>
      <c r="L35" s="30"/>
      <c r="M35" s="30"/>
      <c r="N35" s="30"/>
      <c r="O35" s="23"/>
      <c r="P35" s="23"/>
      <c r="Q35" s="23"/>
      <c r="R35" s="23"/>
      <c r="S35" s="23"/>
      <c r="T35" s="23"/>
      <c r="U35" s="23"/>
      <c r="V35" s="23"/>
      <c r="W35" s="23"/>
      <c r="X35" s="23"/>
      <c r="Y35" s="23"/>
      <c r="Z35" s="23"/>
      <c r="AA35" s="23"/>
      <c r="AB35" s="23"/>
      <c r="AC35" s="23"/>
      <c r="AD35" s="23"/>
      <c r="AE35" s="23"/>
      <c r="AF35" s="24"/>
    </row>
    <row r="36" spans="1:32" s="17" customFormat="1" ht="13.5" customHeight="1">
      <c r="A36" s="227"/>
      <c r="B36" s="238"/>
      <c r="C36" s="284"/>
      <c r="D36" s="216" t="s">
        <v>109</v>
      </c>
      <c r="E36" s="217"/>
      <c r="F36" s="217"/>
      <c r="G36" s="311"/>
      <c r="H36" s="102"/>
      <c r="I36" s="30"/>
      <c r="J36" s="30"/>
      <c r="K36" s="30"/>
      <c r="L36" s="30" t="s">
        <v>80</v>
      </c>
      <c r="M36" s="30"/>
      <c r="N36" s="30"/>
      <c r="O36" s="23"/>
      <c r="P36" s="23"/>
      <c r="Q36" s="23"/>
      <c r="R36" s="23"/>
      <c r="S36" s="23"/>
      <c r="T36" s="23"/>
      <c r="U36" s="23"/>
      <c r="V36" s="23"/>
      <c r="W36" s="23"/>
      <c r="X36" s="23"/>
      <c r="Y36" s="23"/>
      <c r="Z36" s="23"/>
      <c r="AA36" s="23"/>
      <c r="AB36" s="23"/>
      <c r="AC36" s="23"/>
      <c r="AD36" s="23"/>
      <c r="AE36" s="23"/>
      <c r="AF36" s="24"/>
    </row>
    <row r="37" spans="1:32" s="17" customFormat="1" ht="13.5" customHeight="1" thickBot="1">
      <c r="A37" s="227"/>
      <c r="B37" s="278"/>
      <c r="C37" s="305"/>
      <c r="D37" s="216" t="s">
        <v>110</v>
      </c>
      <c r="E37" s="217"/>
      <c r="F37" s="217"/>
      <c r="G37" s="311"/>
      <c r="H37" s="29"/>
      <c r="I37" s="30"/>
      <c r="J37" s="30"/>
      <c r="K37" s="30"/>
      <c r="L37" s="30"/>
      <c r="M37" s="30"/>
      <c r="N37" s="30" t="s">
        <v>80</v>
      </c>
      <c r="O37" s="23"/>
      <c r="P37" s="23"/>
      <c r="Q37" s="23"/>
      <c r="R37" s="23"/>
      <c r="S37" s="23"/>
      <c r="T37" s="23"/>
      <c r="U37" s="23"/>
      <c r="V37" s="23"/>
      <c r="W37" s="23"/>
      <c r="X37" s="23"/>
      <c r="Y37" s="23"/>
      <c r="Z37" s="23"/>
      <c r="AA37" s="23"/>
      <c r="AB37" s="23"/>
      <c r="AC37" s="23"/>
      <c r="AD37" s="23"/>
      <c r="AE37" s="23"/>
      <c r="AF37" s="24"/>
    </row>
    <row r="38" spans="1:32" s="17" customFormat="1" ht="24" customHeight="1">
      <c r="A38" s="218" t="s">
        <v>47</v>
      </c>
      <c r="B38" s="310"/>
      <c r="C38" s="221"/>
      <c r="D38" s="221"/>
      <c r="E38" s="221"/>
      <c r="F38" s="222"/>
      <c r="G38" s="35" t="s">
        <v>36</v>
      </c>
      <c r="H38" s="36" t="s">
        <v>81</v>
      </c>
      <c r="I38" s="37" t="s">
        <v>81</v>
      </c>
      <c r="J38" s="37" t="s">
        <v>81</v>
      </c>
      <c r="K38" s="37" t="s">
        <v>81</v>
      </c>
      <c r="L38" s="37" t="s">
        <v>81</v>
      </c>
      <c r="M38" s="37" t="s">
        <v>81</v>
      </c>
      <c r="N38" s="37" t="s">
        <v>82</v>
      </c>
      <c r="O38" s="37"/>
      <c r="P38" s="37"/>
      <c r="Q38" s="37"/>
      <c r="R38" s="37"/>
      <c r="S38" s="37"/>
      <c r="T38" s="37"/>
      <c r="U38" s="37"/>
      <c r="V38" s="37"/>
      <c r="W38" s="37"/>
      <c r="X38" s="37"/>
      <c r="Y38" s="37"/>
      <c r="Z38" s="37"/>
      <c r="AA38" s="37"/>
      <c r="AB38" s="37"/>
      <c r="AC38" s="37"/>
      <c r="AD38" s="37"/>
      <c r="AE38" s="37"/>
      <c r="AF38" s="38"/>
    </row>
    <row r="39" spans="1:32" s="17" customFormat="1" ht="27" customHeight="1">
      <c r="A39" s="219"/>
      <c r="B39" s="223"/>
      <c r="C39" s="224"/>
      <c r="D39" s="224"/>
      <c r="E39" s="224"/>
      <c r="F39" s="225"/>
      <c r="G39" s="39" t="s">
        <v>37</v>
      </c>
      <c r="H39" s="40"/>
      <c r="I39" s="41"/>
      <c r="J39" s="41"/>
      <c r="K39" s="41"/>
      <c r="L39" s="41"/>
      <c r="M39" s="41"/>
      <c r="N39" s="41"/>
      <c r="O39" s="41"/>
      <c r="P39" s="41"/>
      <c r="Q39" s="41"/>
      <c r="R39" s="41"/>
      <c r="S39" s="41"/>
      <c r="T39" s="41"/>
      <c r="U39" s="41"/>
      <c r="V39" s="41"/>
      <c r="W39" s="41"/>
      <c r="X39" s="41"/>
      <c r="Y39" s="41"/>
      <c r="Z39" s="41"/>
      <c r="AA39" s="41"/>
      <c r="AB39" s="41"/>
      <c r="AC39" s="41"/>
      <c r="AD39" s="41"/>
      <c r="AE39" s="41"/>
      <c r="AF39" s="42"/>
    </row>
    <row r="40" spans="1:32" s="17" customFormat="1" ht="27" customHeight="1">
      <c r="A40" s="219"/>
      <c r="B40" s="223"/>
      <c r="C40" s="224"/>
      <c r="D40" s="224"/>
      <c r="E40" s="224"/>
      <c r="F40" s="225"/>
      <c r="G40" s="39" t="s">
        <v>38</v>
      </c>
      <c r="H40" s="43"/>
      <c r="I40" s="44"/>
      <c r="J40" s="44"/>
      <c r="K40" s="44"/>
      <c r="L40" s="44"/>
      <c r="M40" s="44"/>
      <c r="N40" s="44"/>
      <c r="O40" s="44"/>
      <c r="P40" s="44"/>
      <c r="Q40" s="44"/>
      <c r="R40" s="44"/>
      <c r="S40" s="44"/>
      <c r="T40" s="44"/>
      <c r="U40" s="44"/>
      <c r="V40" s="44"/>
      <c r="W40" s="44"/>
      <c r="X40" s="44"/>
      <c r="Y40" s="44"/>
      <c r="Z40" s="44"/>
      <c r="AA40" s="44"/>
      <c r="AB40" s="44"/>
      <c r="AC40" s="44"/>
      <c r="AD40" s="44"/>
      <c r="AE40" s="44"/>
      <c r="AF40" s="45"/>
    </row>
    <row r="41" spans="1:32" s="17" customFormat="1" ht="24.75" customHeight="1">
      <c r="A41" s="219"/>
      <c r="B41" s="223" t="s">
        <v>83</v>
      </c>
      <c r="C41" s="224"/>
      <c r="D41" s="224"/>
      <c r="E41" s="224"/>
      <c r="F41" s="225"/>
      <c r="G41" s="46" t="s">
        <v>1</v>
      </c>
      <c r="H41" s="40"/>
      <c r="I41" s="41"/>
      <c r="J41" s="41"/>
      <c r="K41" s="41"/>
      <c r="L41" s="41"/>
      <c r="M41" s="41"/>
      <c r="N41" s="70"/>
      <c r="O41" s="41"/>
      <c r="P41" s="41"/>
      <c r="Q41" s="41"/>
      <c r="R41" s="41"/>
      <c r="S41" s="41"/>
      <c r="T41" s="41"/>
      <c r="U41" s="41"/>
      <c r="V41" s="41"/>
      <c r="W41" s="41"/>
      <c r="X41" s="41"/>
      <c r="Y41" s="41"/>
      <c r="Z41" s="41"/>
      <c r="AA41" s="41"/>
      <c r="AB41" s="41"/>
      <c r="AC41" s="41"/>
      <c r="AD41" s="41"/>
      <c r="AE41" s="41"/>
      <c r="AF41" s="42"/>
    </row>
    <row r="42" spans="1:32" s="17" customFormat="1" ht="24.75" customHeight="1">
      <c r="A42" s="258" t="s">
        <v>48</v>
      </c>
      <c r="B42" s="260" t="s">
        <v>40</v>
      </c>
      <c r="C42" s="260"/>
      <c r="D42" s="260"/>
      <c r="E42" s="260"/>
      <c r="F42" s="261" t="str">
        <f>GetBugSheetName()</f>
        <v>Edit_Logout_</v>
      </c>
      <c r="G42" s="262"/>
      <c r="H42" s="60"/>
      <c r="I42" s="53"/>
      <c r="J42" s="53"/>
      <c r="K42" s="53"/>
      <c r="L42" s="53"/>
      <c r="M42" s="53"/>
      <c r="N42" s="53"/>
      <c r="O42" s="53"/>
      <c r="P42" s="53"/>
      <c r="Q42" s="53"/>
      <c r="R42" s="53"/>
      <c r="S42" s="53"/>
      <c r="T42" s="53"/>
      <c r="U42" s="53"/>
      <c r="V42" s="53"/>
      <c r="W42" s="53"/>
      <c r="X42" s="53"/>
      <c r="Y42" s="53"/>
      <c r="Z42" s="53"/>
      <c r="AA42" s="53"/>
      <c r="AB42" s="53"/>
      <c r="AC42" s="53"/>
      <c r="AD42" s="53"/>
      <c r="AE42" s="53"/>
      <c r="AF42" s="54"/>
    </row>
    <row r="43" spans="1:32" s="17" customFormat="1" ht="36" customHeight="1" thickBot="1">
      <c r="A43" s="259"/>
      <c r="B43" s="246" t="s">
        <v>30</v>
      </c>
      <c r="C43" s="247"/>
      <c r="D43" s="247"/>
      <c r="E43" s="248"/>
      <c r="F43" s="246"/>
      <c r="G43" s="263"/>
      <c r="H43" s="61"/>
      <c r="I43" s="55"/>
      <c r="J43" s="55"/>
      <c r="K43" s="55"/>
      <c r="L43" s="55"/>
      <c r="M43" s="55"/>
      <c r="N43" s="55"/>
      <c r="O43" s="55"/>
      <c r="P43" s="55"/>
      <c r="Q43" s="55"/>
      <c r="R43" s="55"/>
      <c r="S43" s="55" t="str">
        <f t="shared" ref="S43:AF43" si="1">IF(S42="","",(SUM(LEN(S42)-LEN(SUBSTITUTE(S42,",","")))/LEN(",")) + 1 )</f>
        <v/>
      </c>
      <c r="T43" s="55" t="str">
        <f t="shared" si="1"/>
        <v/>
      </c>
      <c r="U43" s="55" t="str">
        <f t="shared" si="1"/>
        <v/>
      </c>
      <c r="V43" s="55" t="str">
        <f t="shared" si="1"/>
        <v/>
      </c>
      <c r="W43" s="55" t="str">
        <f t="shared" si="1"/>
        <v/>
      </c>
      <c r="X43" s="55" t="str">
        <f t="shared" si="1"/>
        <v/>
      </c>
      <c r="Y43" s="55" t="str">
        <f t="shared" si="1"/>
        <v/>
      </c>
      <c r="Z43" s="55" t="str">
        <f t="shared" si="1"/>
        <v/>
      </c>
      <c r="AA43" s="55" t="str">
        <f t="shared" si="1"/>
        <v/>
      </c>
      <c r="AB43" s="55" t="str">
        <f t="shared" si="1"/>
        <v/>
      </c>
      <c r="AC43" s="55" t="str">
        <f t="shared" si="1"/>
        <v/>
      </c>
      <c r="AD43" s="55" t="str">
        <f t="shared" si="1"/>
        <v/>
      </c>
      <c r="AE43" s="55" t="str">
        <f t="shared" si="1"/>
        <v/>
      </c>
      <c r="AF43" s="56" t="str">
        <f t="shared" si="1"/>
        <v/>
      </c>
    </row>
    <row r="44" spans="1:32" s="17" customFormat="1">
      <c r="H44" s="47"/>
      <c r="I44" s="47"/>
      <c r="J44" s="47"/>
      <c r="K44" s="47"/>
      <c r="L44" s="47"/>
      <c r="M44" s="47"/>
      <c r="N44" s="48"/>
      <c r="O44" s="49"/>
      <c r="P44" s="47"/>
      <c r="Q44" s="47"/>
      <c r="R44" s="47"/>
      <c r="S44" s="47"/>
      <c r="T44" s="47"/>
      <c r="U44" s="47"/>
      <c r="V44" s="47"/>
    </row>
  </sheetData>
  <sheetProtection insertRows="0"/>
  <protectedRanges>
    <protectedRange sqref="H39:AF42 O38:AF38" name="Range3_1_1"/>
    <protectedRange sqref="H4:AF4 O5:AF37" name="Range2_1_1"/>
    <protectedRange sqref="D5:G6 C13 D10:G10 B5:C12 C16 B13:B16" name="Range2_1_5"/>
    <protectedRange sqref="B4:G4" name="Range2_1_2_2"/>
    <protectedRange sqref="D8:D9 D12:D13 D11:E11 F11:G13 D7:E7 F7:G9" name="Range2_1_3_1"/>
    <protectedRange sqref="C14:G15" name="Range2_1_4_1"/>
    <protectedRange sqref="C18:G21" name="Range2_1_9_2"/>
    <protectedRange sqref="E22:G23 E35:G35 C22:C37" name="Range2_1_10_2"/>
    <protectedRange sqref="D24:G34 D36:G37" name="Range2_1_30_2"/>
    <protectedRange sqref="H38:N38" name="Range3_1_1_1"/>
    <protectedRange sqref="H5:N37" name="Range2_1_1_1"/>
    <protectedRange sqref="B1:O1 P2 T1 B2:E2" name="Range1_1_1"/>
    <protectedRange sqref="P2 AC2:AF2" name="Range1_1_1_1"/>
    <protectedRange sqref="AC1:AF1" name="Range1_1_1_2"/>
  </protectedRanges>
  <mergeCells count="65">
    <mergeCell ref="D33:G33"/>
    <mergeCell ref="D34:G34"/>
    <mergeCell ref="C35:G35"/>
    <mergeCell ref="D36:G36"/>
    <mergeCell ref="C11:C13"/>
    <mergeCell ref="D27:G27"/>
    <mergeCell ref="D28:G28"/>
    <mergeCell ref="D29:G29"/>
    <mergeCell ref="D30:G30"/>
    <mergeCell ref="D20:G20"/>
    <mergeCell ref="D21:G21"/>
    <mergeCell ref="A38:A41"/>
    <mergeCell ref="B38:F38"/>
    <mergeCell ref="B39:F39"/>
    <mergeCell ref="B40:F40"/>
    <mergeCell ref="B41:F41"/>
    <mergeCell ref="A42:A43"/>
    <mergeCell ref="B42:E42"/>
    <mergeCell ref="F42:G42"/>
    <mergeCell ref="B43:E43"/>
    <mergeCell ref="F43:G43"/>
    <mergeCell ref="A17:A37"/>
    <mergeCell ref="B17:G17"/>
    <mergeCell ref="C18:G18"/>
    <mergeCell ref="B18:B37"/>
    <mergeCell ref="C36:C37"/>
    <mergeCell ref="D32:G32"/>
    <mergeCell ref="C19:C21"/>
    <mergeCell ref="D19:G19"/>
    <mergeCell ref="C22:G22"/>
    <mergeCell ref="C23:G23"/>
    <mergeCell ref="C24:C34"/>
    <mergeCell ref="D24:G24"/>
    <mergeCell ref="D25:G25"/>
    <mergeCell ref="D26:G26"/>
    <mergeCell ref="D37:G37"/>
    <mergeCell ref="D31:G31"/>
    <mergeCell ref="A4:A16"/>
    <mergeCell ref="B4:G4"/>
    <mergeCell ref="B5:G5"/>
    <mergeCell ref="C6:G6"/>
    <mergeCell ref="D7:G7"/>
    <mergeCell ref="D8:G8"/>
    <mergeCell ref="D11:G11"/>
    <mergeCell ref="D12:G12"/>
    <mergeCell ref="D13:G13"/>
    <mergeCell ref="C14:G14"/>
    <mergeCell ref="C15:G15"/>
    <mergeCell ref="D16:G16"/>
    <mergeCell ref="B6:B16"/>
    <mergeCell ref="C7:C9"/>
    <mergeCell ref="D9:G9"/>
    <mergeCell ref="C10:G10"/>
    <mergeCell ref="AC2:AF2"/>
    <mergeCell ref="B1:E1"/>
    <mergeCell ref="F1:O1"/>
    <mergeCell ref="P1:S1"/>
    <mergeCell ref="T1:Z1"/>
    <mergeCell ref="AA1:AB1"/>
    <mergeCell ref="AC1:AF1"/>
    <mergeCell ref="B2:E2"/>
    <mergeCell ref="F2:H2"/>
    <mergeCell ref="I2:O2"/>
    <mergeCell ref="P2:Z2"/>
    <mergeCell ref="AA2:AB2"/>
  </mergeCells>
  <conditionalFormatting sqref="H3:AF43">
    <cfRule type="expression" dxfId="99" priority="5" stopIfTrue="1">
      <formula>H$41="NA"</formula>
    </cfRule>
    <cfRule type="expression" dxfId="98" priority="6" stopIfTrue="1">
      <formula>H$41="NG"</formula>
    </cfRule>
  </conditionalFormatting>
  <dataValidations count="10">
    <dataValidation allowBlank="1" showInputMessage="1" showErrorMessage="1" promptTitle="Condition Type" prompt="N : Normal _x000a_A : Abnormal _x000a_B : Boundary" sqref="G38"/>
    <dataValidation allowBlank="1" showInputMessage="1" showErrorMessage="1" promptTitle="Enter" prompt="Name of the person who performed the test" sqref="G39"/>
    <dataValidation allowBlank="1" showInputMessage="1" showErrorMessage="1" promptTitle="Testing Date" prompt="Date on which test was performed in yyyy/mm/dd format" sqref="G40"/>
    <dataValidation allowBlank="1" showInputMessage="1" showErrorMessage="1" promptTitle="Test Result" prompt="OK : Result is OK      _x000a_NG : Result is not as expected_x000a_NA : Not Applicable      _x000a_PT : Testing Pending (as Data not available/ cannot be generated currently)" sqref="G41"/>
    <dataValidation allowBlank="1" showInputMessage="1" showErrorMessage="1" promptTitle="Bug ID" prompt="Unique ID throughout the project._x000a_For every Bug found during Test as well as Re-Test, a new Bug ID needs to be entered here (as a comma seperated value)" sqref="B42:E42"/>
    <dataValidation allowBlank="1" showInputMessage="1" showErrorMessage="1" promptTitle="PCL sheet name" prompt=" " sqref="F42:G42"/>
    <dataValidation type="list" allowBlank="1" showInputMessage="1" showErrorMessage="1" sqref="H41:AF41">
      <formula1>"OK, NG, NA, PT"</formula1>
    </dataValidation>
    <dataValidation type="list" allowBlank="1" showInputMessage="1" showErrorMessage="1" sqref="H38:AF38">
      <formula1>"N, A, B"</formula1>
    </dataValidation>
    <dataValidation allowBlank="1" showInputMessage="1" showErrorMessage="1" promptTitle="Check points" prompt="that need / need not be executed" sqref="A17:A37"/>
    <dataValidation allowBlank="1" showInputMessage="1" showErrorMessage="1" promptTitle="Input conditions" prompt="that need to be checked." sqref="A4:A16"/>
  </dataValidations>
  <hyperlinks>
    <hyperlink ref="D13" r:id="rId1"/>
  </hyperlinks>
  <printOptions horizontalCentered="1"/>
  <pageMargins left="0.55118110236220474" right="0.46" top="0.98425196850393704" bottom="0.98425196850393704" header="0.51181102362204722" footer="0.51181102362204722"/>
  <pageSetup paperSize="9" scale="66" orientation="portrait" r:id="rId2"/>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3"/>
  <legacyDrawing r:id="rId4"/>
</worksheet>
</file>

<file path=xl/worksheets/sheet5.xml><?xml version="1.0" encoding="utf-8"?>
<worksheet xmlns="http://schemas.openxmlformats.org/spreadsheetml/2006/main" xmlns:r="http://schemas.openxmlformats.org/officeDocument/2006/relationships">
  <sheetPr codeName="Sheet4"/>
  <dimension ref="A1:AF18"/>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sqref="A1:AF2"/>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84</v>
      </c>
      <c r="J2" s="247"/>
      <c r="K2" s="247"/>
      <c r="L2" s="247"/>
      <c r="M2" s="247"/>
      <c r="N2" s="247"/>
      <c r="O2" s="248"/>
      <c r="P2" s="243"/>
      <c r="Q2" s="244"/>
      <c r="R2" s="244"/>
      <c r="S2" s="244"/>
      <c r="T2" s="244"/>
      <c r="U2" s="244"/>
      <c r="V2" s="244"/>
      <c r="W2" s="244"/>
      <c r="X2" s="244"/>
      <c r="Y2" s="244"/>
      <c r="Z2" s="245"/>
      <c r="AA2" s="255" t="s">
        <v>289</v>
      </c>
      <c r="AB2" s="256"/>
      <c r="AC2" s="243" t="s">
        <v>290</v>
      </c>
      <c r="AD2" s="244"/>
      <c r="AE2" s="244"/>
      <c r="AF2" s="257"/>
    </row>
    <row r="3" spans="1:32" ht="37.5" customHeight="1" thickBot="1">
      <c r="A3" s="66" t="s">
        <v>43</v>
      </c>
      <c r="B3" s="10"/>
      <c r="C3" s="10"/>
      <c r="D3" s="10"/>
      <c r="E3" s="10"/>
      <c r="F3" s="10"/>
      <c r="G3" s="65" t="s">
        <v>44</v>
      </c>
      <c r="H3" s="11" t="str">
        <f>IF(COUNTA(H4:H12)&gt;0,1,"")</f>
        <v/>
      </c>
      <c r="I3" s="12" t="str">
        <f>IF(COUNTA(I4:I12)&gt;0,IF(H3&gt;0,H3+1,""),"")</f>
        <v/>
      </c>
      <c r="J3" s="12">
        <v>1</v>
      </c>
      <c r="K3" s="12" t="str">
        <f t="shared" ref="K3:AF3" si="0">IF(COUNTA(K4:K12)&gt;0,IF(J3&gt;0,J3+1,""),"")</f>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313" t="s">
        <v>291</v>
      </c>
      <c r="C4" s="313"/>
      <c r="D4" s="313"/>
      <c r="E4" s="313"/>
      <c r="F4" s="313"/>
      <c r="G4" s="314"/>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113</v>
      </c>
      <c r="C5" s="315"/>
      <c r="D5" s="315"/>
      <c r="E5" s="315"/>
      <c r="F5" s="315"/>
      <c r="G5" s="316"/>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thickBot="1">
      <c r="A6" s="233"/>
      <c r="B6" s="98"/>
      <c r="C6" s="317" t="s">
        <v>112</v>
      </c>
      <c r="D6" s="318"/>
      <c r="E6" s="318"/>
      <c r="F6" s="318"/>
      <c r="G6" s="319"/>
      <c r="H6" s="22"/>
      <c r="I6" s="23"/>
      <c r="J6" s="22" t="s">
        <v>80</v>
      </c>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226" t="s">
        <v>46</v>
      </c>
      <c r="B7" s="229" t="s">
        <v>25</v>
      </c>
      <c r="C7" s="230"/>
      <c r="D7" s="230"/>
      <c r="E7" s="230"/>
      <c r="F7" s="230"/>
      <c r="G7" s="230"/>
      <c r="H7" s="25"/>
      <c r="I7" s="26"/>
      <c r="J7" s="25"/>
      <c r="K7" s="68"/>
      <c r="L7" s="26"/>
      <c r="M7" s="26"/>
      <c r="N7" s="26"/>
      <c r="O7" s="26"/>
      <c r="P7" s="26"/>
      <c r="Q7" s="26"/>
      <c r="R7" s="26"/>
      <c r="S7" s="26"/>
      <c r="T7" s="26"/>
      <c r="U7" s="26"/>
      <c r="V7" s="26"/>
      <c r="W7" s="26"/>
      <c r="X7" s="26"/>
      <c r="Y7" s="26"/>
      <c r="Z7" s="26"/>
      <c r="AA7" s="26"/>
      <c r="AB7" s="26"/>
      <c r="AC7" s="26"/>
      <c r="AD7" s="26"/>
      <c r="AE7" s="26"/>
      <c r="AF7" s="27"/>
    </row>
    <row r="8" spans="1:32" s="17" customFormat="1" ht="13.5" customHeight="1">
      <c r="A8" s="227"/>
      <c r="B8" s="277"/>
      <c r="C8" s="216" t="s">
        <v>114</v>
      </c>
      <c r="D8" s="217"/>
      <c r="E8" s="217"/>
      <c r="F8" s="217"/>
      <c r="G8" s="273"/>
      <c r="H8" s="22"/>
      <c r="I8" s="23"/>
      <c r="J8" s="22"/>
      <c r="K8" s="62"/>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227"/>
      <c r="B9" s="238"/>
      <c r="C9" s="99"/>
      <c r="D9" s="283" t="s">
        <v>115</v>
      </c>
      <c r="E9" s="283"/>
      <c r="F9" s="283"/>
      <c r="G9" s="309"/>
      <c r="H9" s="22"/>
      <c r="I9" s="23"/>
      <c r="J9" s="22" t="s">
        <v>80</v>
      </c>
      <c r="K9" s="62"/>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227"/>
      <c r="B10" s="238"/>
      <c r="C10" s="216" t="s">
        <v>116</v>
      </c>
      <c r="D10" s="217"/>
      <c r="E10" s="217"/>
      <c r="F10" s="217"/>
      <c r="G10" s="273"/>
      <c r="H10" s="22"/>
      <c r="I10" s="23"/>
      <c r="J10" s="22"/>
      <c r="K10" s="62"/>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thickBot="1">
      <c r="A11" s="227"/>
      <c r="B11" s="274"/>
      <c r="C11" s="72"/>
      <c r="D11" s="283" t="s">
        <v>115</v>
      </c>
      <c r="E11" s="283"/>
      <c r="F11" s="283"/>
      <c r="G11" s="309"/>
      <c r="H11" s="22"/>
      <c r="I11" s="23"/>
      <c r="J11" s="22" t="s">
        <v>80</v>
      </c>
      <c r="K11" s="62"/>
      <c r="L11" s="23"/>
      <c r="M11" s="23"/>
      <c r="N11" s="23"/>
      <c r="O11" s="23"/>
      <c r="P11" s="23"/>
      <c r="Q11" s="23"/>
      <c r="R11" s="23"/>
      <c r="S11" s="23"/>
      <c r="T11" s="23"/>
      <c r="U11" s="23"/>
      <c r="V11" s="23"/>
      <c r="W11" s="23"/>
      <c r="X11" s="23"/>
      <c r="Y11" s="23"/>
      <c r="Z11" s="23"/>
      <c r="AA11" s="23"/>
      <c r="AB11" s="23"/>
      <c r="AC11" s="23"/>
      <c r="AD11" s="23"/>
      <c r="AE11" s="23"/>
      <c r="AF11" s="24"/>
    </row>
    <row r="12" spans="1:32" s="17" customFormat="1" ht="24" customHeight="1">
      <c r="A12" s="218" t="s">
        <v>47</v>
      </c>
      <c r="B12" s="310"/>
      <c r="C12" s="221"/>
      <c r="D12" s="221"/>
      <c r="E12" s="221"/>
      <c r="F12" s="222"/>
      <c r="G12" s="35" t="s">
        <v>36</v>
      </c>
      <c r="H12" s="36"/>
      <c r="I12" s="37"/>
      <c r="J12" s="36" t="s">
        <v>81</v>
      </c>
      <c r="K12" s="37"/>
      <c r="L12" s="37"/>
      <c r="M12" s="37"/>
      <c r="N12" s="37"/>
      <c r="O12" s="37"/>
      <c r="P12" s="37"/>
      <c r="Q12" s="37"/>
      <c r="R12" s="37"/>
      <c r="S12" s="37"/>
      <c r="T12" s="37"/>
      <c r="U12" s="37"/>
      <c r="V12" s="37"/>
      <c r="W12" s="37"/>
      <c r="X12" s="37"/>
      <c r="Y12" s="37"/>
      <c r="Z12" s="37"/>
      <c r="AA12" s="37"/>
      <c r="AB12" s="37"/>
      <c r="AC12" s="37"/>
      <c r="AD12" s="37"/>
      <c r="AE12" s="37"/>
      <c r="AF12" s="38"/>
    </row>
    <row r="13" spans="1:32" s="17" customFormat="1" ht="27" customHeight="1">
      <c r="A13" s="219"/>
      <c r="B13" s="223"/>
      <c r="C13" s="224"/>
      <c r="D13" s="224"/>
      <c r="E13" s="224"/>
      <c r="F13" s="225"/>
      <c r="G13" s="39" t="s">
        <v>37</v>
      </c>
      <c r="H13" s="40"/>
      <c r="I13" s="74"/>
      <c r="J13" s="74"/>
      <c r="K13" s="74"/>
      <c r="L13" s="74"/>
      <c r="M13" s="74"/>
      <c r="N13" s="74"/>
      <c r="O13" s="74"/>
      <c r="P13" s="74"/>
      <c r="Q13" s="74"/>
      <c r="R13" s="74"/>
      <c r="S13" s="74"/>
      <c r="T13" s="74"/>
      <c r="U13" s="74"/>
      <c r="V13" s="74"/>
      <c r="W13" s="74"/>
      <c r="X13" s="74"/>
      <c r="Y13" s="74"/>
      <c r="Z13" s="74"/>
      <c r="AA13" s="74"/>
      <c r="AB13" s="74"/>
      <c r="AC13" s="74"/>
      <c r="AD13" s="74"/>
      <c r="AE13" s="74"/>
      <c r="AF13" s="42"/>
    </row>
    <row r="14" spans="1:32" s="17" customFormat="1" ht="27" customHeight="1">
      <c r="A14" s="219"/>
      <c r="B14" s="223"/>
      <c r="C14" s="224"/>
      <c r="D14" s="224"/>
      <c r="E14" s="224"/>
      <c r="F14" s="225"/>
      <c r="G14" s="39" t="s">
        <v>38</v>
      </c>
      <c r="H14" s="43"/>
      <c r="I14" s="44"/>
      <c r="J14" s="44"/>
      <c r="K14" s="44"/>
      <c r="L14" s="44"/>
      <c r="M14" s="44"/>
      <c r="N14" s="44"/>
      <c r="O14" s="44"/>
      <c r="P14" s="44"/>
      <c r="Q14" s="44"/>
      <c r="R14" s="44"/>
      <c r="S14" s="44"/>
      <c r="T14" s="44"/>
      <c r="U14" s="44"/>
      <c r="V14" s="44"/>
      <c r="W14" s="44"/>
      <c r="X14" s="44"/>
      <c r="Y14" s="44"/>
      <c r="Z14" s="44"/>
      <c r="AA14" s="44"/>
      <c r="AB14" s="44"/>
      <c r="AC14" s="44"/>
      <c r="AD14" s="44"/>
      <c r="AE14" s="44"/>
      <c r="AF14" s="45"/>
    </row>
    <row r="15" spans="1:32" s="17" customFormat="1" ht="24.75" customHeight="1">
      <c r="A15" s="219"/>
      <c r="B15" s="223" t="s">
        <v>83</v>
      </c>
      <c r="C15" s="224"/>
      <c r="D15" s="224"/>
      <c r="E15" s="224"/>
      <c r="F15" s="225"/>
      <c r="G15" s="46" t="s">
        <v>1</v>
      </c>
      <c r="H15" s="40"/>
      <c r="I15" s="74"/>
      <c r="J15" s="74"/>
      <c r="K15" s="74"/>
      <c r="L15" s="74"/>
      <c r="M15" s="74"/>
      <c r="N15" s="70"/>
      <c r="O15" s="74"/>
      <c r="P15" s="74"/>
      <c r="Q15" s="74"/>
      <c r="R15" s="74"/>
      <c r="S15" s="74"/>
      <c r="T15" s="74"/>
      <c r="U15" s="74"/>
      <c r="V15" s="74"/>
      <c r="W15" s="74"/>
      <c r="X15" s="74"/>
      <c r="Y15" s="74"/>
      <c r="Z15" s="74"/>
      <c r="AA15" s="74"/>
      <c r="AB15" s="74"/>
      <c r="AC15" s="74"/>
      <c r="AD15" s="74"/>
      <c r="AE15" s="74"/>
      <c r="AF15" s="42"/>
    </row>
    <row r="16" spans="1:32" s="17" customFormat="1" ht="24.75" customHeight="1">
      <c r="A16" s="258" t="s">
        <v>48</v>
      </c>
      <c r="B16" s="260" t="s">
        <v>40</v>
      </c>
      <c r="C16" s="260"/>
      <c r="D16" s="260"/>
      <c r="E16" s="260"/>
      <c r="F16" s="261" t="str">
        <f>GetBugSheetName()</f>
        <v>Edit_Logout_</v>
      </c>
      <c r="G16" s="262"/>
      <c r="H16" s="60"/>
      <c r="I16" s="53"/>
      <c r="J16" s="53"/>
      <c r="K16" s="53"/>
      <c r="L16" s="53"/>
      <c r="M16" s="53"/>
      <c r="N16" s="53"/>
      <c r="O16" s="53"/>
      <c r="P16" s="53"/>
      <c r="Q16" s="53"/>
      <c r="R16" s="53"/>
      <c r="S16" s="53"/>
      <c r="T16" s="53"/>
      <c r="U16" s="53"/>
      <c r="V16" s="53"/>
      <c r="W16" s="53"/>
      <c r="X16" s="53"/>
      <c r="Y16" s="53"/>
      <c r="Z16" s="53"/>
      <c r="AA16" s="53"/>
      <c r="AB16" s="53"/>
      <c r="AC16" s="53"/>
      <c r="AD16" s="53"/>
      <c r="AE16" s="53"/>
      <c r="AF16" s="54"/>
    </row>
    <row r="17" spans="1:32" s="17" customFormat="1" ht="36" customHeight="1" thickBot="1">
      <c r="A17" s="259"/>
      <c r="B17" s="246" t="s">
        <v>30</v>
      </c>
      <c r="C17" s="247"/>
      <c r="D17" s="247"/>
      <c r="E17" s="248"/>
      <c r="F17" s="246"/>
      <c r="G17" s="263"/>
      <c r="H17" s="61"/>
      <c r="I17" s="55"/>
      <c r="J17" s="55"/>
      <c r="K17" s="55"/>
      <c r="L17" s="55"/>
      <c r="M17" s="55"/>
      <c r="N17" s="55"/>
      <c r="O17" s="55"/>
      <c r="P17" s="55"/>
      <c r="Q17" s="55"/>
      <c r="R17" s="55"/>
      <c r="S17" s="55" t="str">
        <f t="shared" ref="S17:AF17" si="1">IF(S16="","",(SUM(LEN(S16)-LEN(SUBSTITUTE(S16,",","")))/LEN(",")) + 1 )</f>
        <v/>
      </c>
      <c r="T17" s="55" t="str">
        <f t="shared" si="1"/>
        <v/>
      </c>
      <c r="U17" s="55" t="str">
        <f t="shared" si="1"/>
        <v/>
      </c>
      <c r="V17" s="55" t="str">
        <f t="shared" si="1"/>
        <v/>
      </c>
      <c r="W17" s="55" t="str">
        <f t="shared" si="1"/>
        <v/>
      </c>
      <c r="X17" s="55" t="str">
        <f t="shared" si="1"/>
        <v/>
      </c>
      <c r="Y17" s="55" t="str">
        <f t="shared" si="1"/>
        <v/>
      </c>
      <c r="Z17" s="55" t="str">
        <f t="shared" si="1"/>
        <v/>
      </c>
      <c r="AA17" s="55" t="str">
        <f t="shared" si="1"/>
        <v/>
      </c>
      <c r="AB17" s="55" t="str">
        <f t="shared" si="1"/>
        <v/>
      </c>
      <c r="AC17" s="55" t="str">
        <f t="shared" si="1"/>
        <v/>
      </c>
      <c r="AD17" s="55" t="str">
        <f t="shared" si="1"/>
        <v/>
      </c>
      <c r="AE17" s="55" t="str">
        <f t="shared" si="1"/>
        <v/>
      </c>
      <c r="AF17" s="56" t="str">
        <f t="shared" si="1"/>
        <v/>
      </c>
    </row>
    <row r="18" spans="1:32" s="17" customFormat="1">
      <c r="H18" s="47"/>
      <c r="I18" s="47"/>
      <c r="J18" s="47"/>
      <c r="K18" s="47"/>
      <c r="L18" s="47"/>
      <c r="M18" s="47"/>
      <c r="N18" s="48"/>
      <c r="O18" s="49"/>
      <c r="P18" s="47"/>
      <c r="Q18" s="47"/>
      <c r="R18" s="47"/>
      <c r="S18" s="47"/>
      <c r="T18" s="47"/>
      <c r="U18" s="47"/>
      <c r="V18" s="47"/>
    </row>
  </sheetData>
  <sheetProtection insertRows="0"/>
  <protectedRanges>
    <protectedRange sqref="B7:G7 B8:B11" name="Range2_1"/>
    <protectedRange sqref="H13:AF16 H12:I12 K12:AF12" name="Range3_1_1"/>
    <protectedRange sqref="H4:AF5 H6:I11 K6:AF11" name="Range2_1_1"/>
    <protectedRange sqref="B5:G6" name="Range2_1_2"/>
    <protectedRange sqref="B4:G4" name="Range2_1_2_1"/>
    <protectedRange sqref="C8:G11" name="Range2_1_3"/>
    <protectedRange sqref="J12" name="Range3_1_1_1"/>
    <protectedRange sqref="J6:J11" name="Range2_1_1_1"/>
    <protectedRange sqref="B1:O1 P2 T1 B2:E2" name="Range1_1_1"/>
    <protectedRange sqref="P2 AC2:AF2" name="Range1_1_1_1"/>
    <protectedRange sqref="AC1:AF1" name="Range1_1_1_2"/>
  </protectedRanges>
  <mergeCells count="33">
    <mergeCell ref="I2:O2"/>
    <mergeCell ref="P2:Z2"/>
    <mergeCell ref="AA2:AB2"/>
    <mergeCell ref="AC2:AF2"/>
    <mergeCell ref="B1:E1"/>
    <mergeCell ref="F1:O1"/>
    <mergeCell ref="P1:S1"/>
    <mergeCell ref="T1:Z1"/>
    <mergeCell ref="AA1:AB1"/>
    <mergeCell ref="AC1:AF1"/>
    <mergeCell ref="A4:A6"/>
    <mergeCell ref="B4:G4"/>
    <mergeCell ref="B5:G5"/>
    <mergeCell ref="C6:G6"/>
    <mergeCell ref="B2:E2"/>
    <mergeCell ref="F2:H2"/>
    <mergeCell ref="A16:A17"/>
    <mergeCell ref="B16:E16"/>
    <mergeCell ref="F16:G16"/>
    <mergeCell ref="B17:E17"/>
    <mergeCell ref="F17:G17"/>
    <mergeCell ref="D9:G9"/>
    <mergeCell ref="B8:B11"/>
    <mergeCell ref="A12:A15"/>
    <mergeCell ref="B12:F12"/>
    <mergeCell ref="B13:F13"/>
    <mergeCell ref="B14:F14"/>
    <mergeCell ref="B15:F15"/>
    <mergeCell ref="C10:G10"/>
    <mergeCell ref="D11:G11"/>
    <mergeCell ref="A7:A11"/>
    <mergeCell ref="B7:G7"/>
    <mergeCell ref="C8:G8"/>
  </mergeCells>
  <conditionalFormatting sqref="H3:AF17">
    <cfRule type="expression" dxfId="97" priority="5" stopIfTrue="1">
      <formula>H$15="NA"</formula>
    </cfRule>
    <cfRule type="expression" dxfId="96" priority="6" stopIfTrue="1">
      <formula>H$15="NG"</formula>
    </cfRule>
  </conditionalFormatting>
  <dataValidations count="10">
    <dataValidation allowBlank="1" showInputMessage="1" showErrorMessage="1" promptTitle="Condition Type" prompt="N : Normal _x000a_A : Abnormal _x000a_B : Boundary" sqref="G12"/>
    <dataValidation allowBlank="1" showInputMessage="1" showErrorMessage="1" promptTitle="Enter" prompt="Name of the person who performed the test" sqref="G13"/>
    <dataValidation allowBlank="1" showInputMessage="1" showErrorMessage="1" promptTitle="Testing Date" prompt="Date on which test was performed in yyyy/mm/dd format" sqref="G14"/>
    <dataValidation allowBlank="1" showInputMessage="1" showErrorMessage="1" promptTitle="Test Result" prompt="OK : Result is OK      _x000a_NG : Result is not as expected_x000a_NA : Not Applicable      _x000a_PT : Testing Pending (as Data not available/ cannot be generated currently)" sqref="G15"/>
    <dataValidation allowBlank="1" showInputMessage="1" showErrorMessage="1" promptTitle="Bug ID" prompt="Unique ID throughout the project._x000a_For every Bug found during Test as well as Re-Test, a new Bug ID needs to be entered here (as a comma seperated value)" sqref="B16:E16"/>
    <dataValidation allowBlank="1" showInputMessage="1" showErrorMessage="1" promptTitle="PCL sheet name" prompt=" " sqref="F16:G16"/>
    <dataValidation type="list" allowBlank="1" showInputMessage="1" showErrorMessage="1" sqref="H15:AF15">
      <formula1>"OK, NG, NA, PT"</formula1>
    </dataValidation>
    <dataValidation type="list" allowBlank="1" showInputMessage="1" showErrorMessage="1" sqref="H12:AF12">
      <formula1>"N, A, B"</formula1>
    </dataValidation>
    <dataValidation allowBlank="1" showInputMessage="1" showErrorMessage="1" promptTitle="Check points" prompt="that need / need not be executed" sqref="A7:A11"/>
    <dataValidation allowBlank="1" showInputMessage="1" showErrorMessage="1" promptTitle="Input conditions" prompt="that need to be checked." sqref="A4:A6"/>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6.xml><?xml version="1.0" encoding="utf-8"?>
<worksheet xmlns="http://schemas.openxmlformats.org/spreadsheetml/2006/main" xmlns:r="http://schemas.openxmlformats.org/officeDocument/2006/relationships">
  <sheetPr codeName="Sheet5"/>
  <dimension ref="A1:AF32"/>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Q20" sqref="Q20"/>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56</v>
      </c>
      <c r="J2" s="247"/>
      <c r="K2" s="247"/>
      <c r="L2" s="247"/>
      <c r="M2" s="247"/>
      <c r="N2" s="247"/>
      <c r="O2" s="248"/>
      <c r="P2" s="243"/>
      <c r="Q2" s="244"/>
      <c r="R2" s="244"/>
      <c r="S2" s="244"/>
      <c r="T2" s="244"/>
      <c r="U2" s="244"/>
      <c r="V2" s="244"/>
      <c r="W2" s="244"/>
      <c r="X2" s="244"/>
      <c r="Y2" s="244"/>
      <c r="Z2" s="245"/>
      <c r="AA2" s="255" t="s">
        <v>289</v>
      </c>
      <c r="AB2" s="256"/>
      <c r="AC2" s="243" t="s">
        <v>293</v>
      </c>
      <c r="AD2" s="244"/>
      <c r="AE2" s="244"/>
      <c r="AF2" s="257"/>
    </row>
    <row r="3" spans="1:32" ht="37.5" customHeight="1" thickBot="1">
      <c r="A3" s="66" t="s">
        <v>43</v>
      </c>
      <c r="B3" s="10"/>
      <c r="C3" s="10"/>
      <c r="D3" s="10"/>
      <c r="E3" s="10"/>
      <c r="F3" s="10"/>
      <c r="G3" s="65" t="s">
        <v>44</v>
      </c>
      <c r="H3" s="11">
        <f>IF(COUNTA(H4:H26)&gt;0,1,"")</f>
        <v>1</v>
      </c>
      <c r="I3" s="12">
        <f>IF(COUNTA(I4:I26)&gt;0,IF(H3&gt;0,H3+1,""),"")</f>
        <v>2</v>
      </c>
      <c r="J3" s="12">
        <v>3</v>
      </c>
      <c r="K3" s="12">
        <f t="shared" ref="K3:AF3" si="0">IF(COUNTA(K4:K26)&gt;0,IF(J3&gt;0,J3+1,""),"")</f>
        <v>4</v>
      </c>
      <c r="L3" s="12">
        <f t="shared" si="0"/>
        <v>5</v>
      </c>
      <c r="M3" s="12">
        <f t="shared" si="0"/>
        <v>6</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230" t="s">
        <v>292</v>
      </c>
      <c r="C4" s="230"/>
      <c r="D4" s="230"/>
      <c r="E4" s="230"/>
      <c r="F4" s="230"/>
      <c r="G4" s="287"/>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118</v>
      </c>
      <c r="C5" s="315"/>
      <c r="D5" s="315"/>
      <c r="E5" s="315"/>
      <c r="F5" s="315"/>
      <c r="G5" s="316"/>
      <c r="H5" s="19" t="s">
        <v>80</v>
      </c>
      <c r="I5" s="19" t="s">
        <v>80</v>
      </c>
      <c r="J5" s="19" t="s">
        <v>80</v>
      </c>
      <c r="K5" s="19" t="s">
        <v>80</v>
      </c>
      <c r="L5" s="19" t="s">
        <v>80</v>
      </c>
      <c r="M5" s="19" t="s">
        <v>80</v>
      </c>
      <c r="N5" s="19"/>
      <c r="O5" s="19"/>
      <c r="P5" s="19"/>
      <c r="Q5" s="19"/>
      <c r="R5" s="19"/>
      <c r="S5" s="19"/>
      <c r="T5" s="19"/>
      <c r="U5" s="19"/>
      <c r="V5" s="19"/>
      <c r="W5" s="19"/>
      <c r="X5" s="19"/>
      <c r="Y5" s="19"/>
      <c r="Z5" s="19"/>
      <c r="AA5" s="19"/>
      <c r="AB5" s="19"/>
      <c r="AC5" s="19"/>
      <c r="AD5" s="19"/>
      <c r="AE5" s="19"/>
      <c r="AF5" s="20"/>
    </row>
    <row r="6" spans="1:32" s="17" customFormat="1" ht="13.5" customHeight="1">
      <c r="A6" s="233"/>
      <c r="B6" s="324"/>
      <c r="C6" s="276" t="s">
        <v>119</v>
      </c>
      <c r="D6" s="279"/>
      <c r="E6" s="279"/>
      <c r="F6" s="279"/>
      <c r="G6" s="280"/>
      <c r="H6" s="90" t="s">
        <v>80</v>
      </c>
      <c r="I6" s="19"/>
      <c r="J6" s="19"/>
      <c r="K6" s="19"/>
      <c r="L6" s="19"/>
      <c r="M6" s="19"/>
      <c r="N6" s="19"/>
      <c r="O6" s="19"/>
      <c r="P6" s="23"/>
      <c r="Q6" s="23"/>
      <c r="R6" s="23"/>
      <c r="S6" s="23"/>
      <c r="T6" s="23"/>
      <c r="U6" s="23"/>
      <c r="V6" s="23"/>
      <c r="W6" s="23"/>
      <c r="X6" s="23"/>
      <c r="Y6" s="23"/>
      <c r="Z6" s="23"/>
      <c r="AA6" s="23"/>
      <c r="AB6" s="23"/>
      <c r="AC6" s="23"/>
      <c r="AD6" s="23"/>
      <c r="AE6" s="23"/>
      <c r="AF6" s="24"/>
    </row>
    <row r="7" spans="1:32" s="17" customFormat="1" ht="13.5" customHeight="1">
      <c r="A7" s="233"/>
      <c r="B7" s="324"/>
      <c r="C7" s="276" t="s">
        <v>120</v>
      </c>
      <c r="D7" s="279"/>
      <c r="E7" s="279"/>
      <c r="F7" s="279"/>
      <c r="G7" s="280"/>
      <c r="H7" s="90"/>
      <c r="I7" s="19"/>
      <c r="J7" s="19"/>
      <c r="K7" s="19"/>
      <c r="L7" s="19"/>
      <c r="M7" s="19"/>
      <c r="N7" s="19"/>
      <c r="O7" s="19"/>
      <c r="P7" s="23"/>
      <c r="Q7" s="23"/>
      <c r="R7" s="23"/>
      <c r="S7" s="23"/>
      <c r="T7" s="23"/>
      <c r="U7" s="23"/>
      <c r="V7" s="23"/>
      <c r="W7" s="23"/>
      <c r="X7" s="23"/>
      <c r="Y7" s="23"/>
      <c r="Z7" s="23"/>
      <c r="AA7" s="23"/>
      <c r="AB7" s="23"/>
      <c r="AC7" s="23"/>
      <c r="AD7" s="23"/>
      <c r="AE7" s="23"/>
      <c r="AF7" s="24"/>
    </row>
    <row r="8" spans="1:32" s="17" customFormat="1" ht="13.5" customHeight="1">
      <c r="A8" s="233"/>
      <c r="B8" s="324"/>
      <c r="C8" s="325"/>
      <c r="D8" s="279" t="s">
        <v>121</v>
      </c>
      <c r="E8" s="279"/>
      <c r="F8" s="279"/>
      <c r="G8" s="280"/>
      <c r="H8" s="90"/>
      <c r="I8" s="19" t="s">
        <v>80</v>
      </c>
      <c r="J8" s="19"/>
      <c r="K8" s="19"/>
      <c r="L8" s="19"/>
      <c r="M8" s="19"/>
      <c r="N8" s="19"/>
      <c r="O8" s="19"/>
      <c r="P8" s="23"/>
      <c r="Q8" s="23"/>
      <c r="R8" s="23"/>
      <c r="S8" s="23"/>
      <c r="T8" s="23"/>
      <c r="U8" s="23"/>
      <c r="V8" s="23"/>
      <c r="W8" s="23"/>
      <c r="X8" s="23"/>
      <c r="Y8" s="23"/>
      <c r="Z8" s="23"/>
      <c r="AA8" s="23"/>
      <c r="AB8" s="23"/>
      <c r="AC8" s="23"/>
      <c r="AD8" s="23"/>
      <c r="AE8" s="23"/>
      <c r="AF8" s="24"/>
    </row>
    <row r="9" spans="1:32" s="17" customFormat="1" ht="13.5" customHeight="1">
      <c r="A9" s="233"/>
      <c r="B9" s="324"/>
      <c r="C9" s="326"/>
      <c r="D9" s="279" t="s">
        <v>122</v>
      </c>
      <c r="E9" s="279"/>
      <c r="F9" s="279"/>
      <c r="G9" s="280"/>
      <c r="H9" s="90"/>
      <c r="I9" s="19"/>
      <c r="J9" s="19" t="s">
        <v>80</v>
      </c>
      <c r="K9" s="19"/>
      <c r="L9" s="19"/>
      <c r="M9" s="19"/>
      <c r="N9" s="19"/>
      <c r="O9" s="19"/>
      <c r="P9" s="23"/>
      <c r="Q9" s="23"/>
      <c r="R9" s="23"/>
      <c r="S9" s="23"/>
      <c r="T9" s="23"/>
      <c r="U9" s="23"/>
      <c r="V9" s="23"/>
      <c r="W9" s="23"/>
      <c r="X9" s="23"/>
      <c r="Y9" s="23"/>
      <c r="Z9" s="23"/>
      <c r="AA9" s="23"/>
      <c r="AB9" s="23"/>
      <c r="AC9" s="23"/>
      <c r="AD9" s="23"/>
      <c r="AE9" s="23"/>
      <c r="AF9" s="24"/>
    </row>
    <row r="10" spans="1:32" s="17" customFormat="1" ht="13.5" customHeight="1">
      <c r="A10" s="233"/>
      <c r="B10" s="324"/>
      <c r="C10" s="234" t="s">
        <v>75</v>
      </c>
      <c r="D10" s="237"/>
      <c r="E10" s="237"/>
      <c r="F10" s="237"/>
      <c r="G10" s="304"/>
      <c r="H10" s="83"/>
      <c r="I10" s="19"/>
      <c r="J10" s="19"/>
      <c r="K10" s="19" t="s">
        <v>80</v>
      </c>
      <c r="L10" s="19"/>
      <c r="M10" s="19"/>
      <c r="N10" s="19"/>
      <c r="O10" s="19"/>
      <c r="P10" s="23"/>
      <c r="Q10" s="23"/>
      <c r="R10" s="23"/>
      <c r="S10" s="23"/>
      <c r="T10" s="23"/>
      <c r="U10" s="23"/>
      <c r="V10" s="23"/>
      <c r="W10" s="23"/>
      <c r="X10" s="23"/>
      <c r="Y10" s="23"/>
      <c r="Z10" s="23"/>
      <c r="AA10" s="23"/>
      <c r="AB10" s="23"/>
      <c r="AC10" s="23"/>
      <c r="AD10" s="23"/>
      <c r="AE10" s="23"/>
      <c r="AF10" s="24"/>
    </row>
    <row r="11" spans="1:32" s="17" customFormat="1" ht="13.5" customHeight="1">
      <c r="A11" s="233"/>
      <c r="B11" s="324"/>
      <c r="C11" s="234" t="s">
        <v>77</v>
      </c>
      <c r="D11" s="237"/>
      <c r="E11" s="237"/>
      <c r="F11" s="237"/>
      <c r="G11" s="304"/>
      <c r="H11" s="83"/>
      <c r="I11" s="19"/>
      <c r="J11" s="19"/>
      <c r="K11" s="19"/>
      <c r="L11" s="19" t="s">
        <v>80</v>
      </c>
      <c r="M11" s="19"/>
      <c r="N11" s="19"/>
      <c r="O11" s="19"/>
      <c r="P11" s="23"/>
      <c r="Q11" s="23"/>
      <c r="R11" s="23"/>
      <c r="S11" s="23"/>
      <c r="T11" s="23"/>
      <c r="U11" s="23"/>
      <c r="V11" s="23"/>
      <c r="W11" s="23"/>
      <c r="X11" s="23"/>
      <c r="Y11" s="23"/>
      <c r="Z11" s="23"/>
      <c r="AA11" s="23"/>
      <c r="AB11" s="23"/>
      <c r="AC11" s="23"/>
      <c r="AD11" s="23"/>
      <c r="AE11" s="23"/>
      <c r="AF11" s="24"/>
    </row>
    <row r="12" spans="1:32" s="17" customFormat="1" ht="13.5" customHeight="1" thickBot="1">
      <c r="A12" s="233"/>
      <c r="B12" s="277"/>
      <c r="C12" s="292" t="s">
        <v>90</v>
      </c>
      <c r="D12" s="293"/>
      <c r="E12" s="293"/>
      <c r="F12" s="293"/>
      <c r="G12" s="294"/>
      <c r="H12" s="108"/>
      <c r="I12" s="75"/>
      <c r="J12" s="75"/>
      <c r="K12" s="75"/>
      <c r="L12" s="75"/>
      <c r="M12" s="75" t="s">
        <v>80</v>
      </c>
      <c r="N12" s="75"/>
      <c r="O12" s="75"/>
      <c r="P12" s="23"/>
      <c r="Q12" s="23"/>
      <c r="R12" s="23"/>
      <c r="S12" s="23"/>
      <c r="T12" s="23"/>
      <c r="U12" s="23"/>
      <c r="V12" s="23"/>
      <c r="W12" s="23"/>
      <c r="X12" s="23"/>
      <c r="Y12" s="23"/>
      <c r="Z12" s="23"/>
      <c r="AA12" s="23"/>
      <c r="AB12" s="23"/>
      <c r="AC12" s="23"/>
      <c r="AD12" s="23"/>
      <c r="AE12" s="23"/>
      <c r="AF12" s="24"/>
    </row>
    <row r="13" spans="1:32" s="17" customFormat="1" ht="13.5" customHeight="1">
      <c r="A13" s="226" t="s">
        <v>46</v>
      </c>
      <c r="B13" s="313" t="s">
        <v>66</v>
      </c>
      <c r="C13" s="313"/>
      <c r="D13" s="313"/>
      <c r="E13" s="313"/>
      <c r="F13" s="313"/>
      <c r="G13" s="323"/>
      <c r="H13" s="109"/>
      <c r="I13" s="26"/>
      <c r="J13" s="26"/>
      <c r="K13" s="26"/>
      <c r="L13" s="26"/>
      <c r="M13" s="26"/>
      <c r="N13" s="26"/>
      <c r="O13" s="26"/>
      <c r="P13" s="26"/>
      <c r="Q13" s="26"/>
      <c r="R13" s="26"/>
      <c r="S13" s="26"/>
      <c r="T13" s="26"/>
      <c r="U13" s="26"/>
      <c r="V13" s="26"/>
      <c r="W13" s="26"/>
      <c r="X13" s="26"/>
      <c r="Y13" s="26"/>
      <c r="Z13" s="26"/>
      <c r="AA13" s="26"/>
      <c r="AB13" s="26"/>
      <c r="AC13" s="26"/>
      <c r="AD13" s="26"/>
      <c r="AE13" s="26"/>
      <c r="AF13" s="27"/>
    </row>
    <row r="14" spans="1:32" s="17" customFormat="1" ht="13.5" customHeight="1">
      <c r="A14" s="227"/>
      <c r="B14" s="277"/>
      <c r="C14" s="234" t="s">
        <v>124</v>
      </c>
      <c r="D14" s="237"/>
      <c r="E14" s="237"/>
      <c r="F14" s="237"/>
      <c r="G14" s="304"/>
      <c r="H14" s="110"/>
      <c r="I14" s="87"/>
      <c r="J14" s="87"/>
      <c r="K14" s="87"/>
      <c r="L14" s="87"/>
      <c r="M14" s="87"/>
      <c r="N14" s="87"/>
      <c r="O14" s="87"/>
      <c r="P14" s="23"/>
      <c r="Q14" s="23"/>
      <c r="R14" s="23"/>
      <c r="S14" s="23"/>
      <c r="T14" s="23"/>
      <c r="U14" s="23"/>
      <c r="V14" s="23"/>
      <c r="W14" s="23"/>
      <c r="X14" s="23"/>
      <c r="Y14" s="23"/>
      <c r="Z14" s="23"/>
      <c r="AA14" s="23"/>
      <c r="AB14" s="23"/>
      <c r="AC14" s="23"/>
      <c r="AD14" s="23"/>
      <c r="AE14" s="23"/>
      <c r="AF14" s="24"/>
    </row>
    <row r="15" spans="1:32" s="17" customFormat="1" ht="13.5" customHeight="1">
      <c r="A15" s="227"/>
      <c r="B15" s="238"/>
      <c r="C15" s="320"/>
      <c r="D15" s="234" t="s">
        <v>70</v>
      </c>
      <c r="E15" s="237"/>
      <c r="F15" s="237"/>
      <c r="G15" s="304"/>
      <c r="H15" s="110"/>
      <c r="I15" s="19" t="s">
        <v>80</v>
      </c>
      <c r="J15" s="19" t="s">
        <v>80</v>
      </c>
      <c r="K15" s="87"/>
      <c r="L15" s="87"/>
      <c r="M15" s="87"/>
      <c r="N15" s="87"/>
      <c r="O15" s="87"/>
      <c r="P15" s="23"/>
      <c r="Q15" s="23"/>
      <c r="R15" s="23"/>
      <c r="S15" s="23"/>
      <c r="T15" s="23"/>
      <c r="U15" s="23"/>
      <c r="V15" s="23"/>
      <c r="W15" s="23"/>
      <c r="X15" s="23"/>
      <c r="Y15" s="23"/>
      <c r="Z15" s="23"/>
      <c r="AA15" s="23"/>
      <c r="AB15" s="23"/>
      <c r="AC15" s="23"/>
      <c r="AD15" s="23"/>
      <c r="AE15" s="23"/>
      <c r="AF15" s="24"/>
    </row>
    <row r="16" spans="1:32" s="17" customFormat="1" ht="13.5" customHeight="1">
      <c r="A16" s="227"/>
      <c r="B16" s="238"/>
      <c r="C16" s="321"/>
      <c r="D16" s="217" t="s">
        <v>73</v>
      </c>
      <c r="E16" s="217"/>
      <c r="F16" s="217"/>
      <c r="G16" s="273"/>
      <c r="H16" s="110"/>
      <c r="I16" s="87"/>
      <c r="J16" s="87"/>
      <c r="K16" s="87"/>
      <c r="L16" s="87"/>
      <c r="M16" s="87"/>
      <c r="N16" s="87"/>
      <c r="O16" s="87"/>
      <c r="P16" s="23"/>
      <c r="Q16" s="23"/>
      <c r="R16" s="23"/>
      <c r="S16" s="23"/>
      <c r="T16" s="23"/>
      <c r="U16" s="23"/>
      <c r="V16" s="23"/>
      <c r="W16" s="23"/>
      <c r="X16" s="23"/>
      <c r="Y16" s="23"/>
      <c r="Z16" s="23"/>
      <c r="AA16" s="23"/>
      <c r="AB16" s="23"/>
      <c r="AC16" s="23"/>
      <c r="AD16" s="23"/>
      <c r="AE16" s="23"/>
      <c r="AF16" s="24"/>
    </row>
    <row r="17" spans="1:32" s="17" customFormat="1" ht="13.5" customHeight="1">
      <c r="A17" s="227"/>
      <c r="B17" s="238"/>
      <c r="C17" s="322"/>
      <c r="D17" s="106"/>
      <c r="E17" s="217" t="s">
        <v>74</v>
      </c>
      <c r="F17" s="217"/>
      <c r="G17" s="273"/>
      <c r="H17" s="19" t="s">
        <v>80</v>
      </c>
      <c r="I17" s="19" t="s">
        <v>80</v>
      </c>
      <c r="J17" s="19" t="s">
        <v>80</v>
      </c>
      <c r="K17" s="19" t="s">
        <v>80</v>
      </c>
      <c r="L17" s="19" t="s">
        <v>80</v>
      </c>
      <c r="M17" s="81"/>
      <c r="N17" s="19"/>
      <c r="O17" s="81"/>
      <c r="P17" s="23"/>
      <c r="Q17" s="23"/>
      <c r="R17" s="23"/>
      <c r="S17" s="23"/>
      <c r="T17" s="23"/>
      <c r="U17" s="23"/>
      <c r="V17" s="23"/>
      <c r="W17" s="23"/>
      <c r="X17" s="23"/>
      <c r="Y17" s="23"/>
      <c r="Z17" s="23"/>
      <c r="AA17" s="23"/>
      <c r="AB17" s="23"/>
      <c r="AC17" s="23"/>
      <c r="AD17" s="23"/>
      <c r="AE17" s="23"/>
      <c r="AF17" s="24"/>
    </row>
    <row r="18" spans="1:32" s="17" customFormat="1" ht="13.5" customHeight="1">
      <c r="A18" s="227"/>
      <c r="B18" s="238"/>
      <c r="C18" s="216" t="s">
        <v>125</v>
      </c>
      <c r="D18" s="217"/>
      <c r="E18" s="217"/>
      <c r="F18" s="217"/>
      <c r="G18" s="273"/>
      <c r="H18" s="110"/>
      <c r="I18" s="87"/>
      <c r="J18" s="87"/>
      <c r="K18" s="87"/>
      <c r="L18" s="87"/>
      <c r="M18" s="87"/>
      <c r="N18" s="87"/>
      <c r="O18" s="87"/>
      <c r="P18" s="30"/>
      <c r="Q18" s="30"/>
      <c r="R18" s="30"/>
      <c r="S18" s="30"/>
      <c r="T18" s="30"/>
      <c r="U18" s="30"/>
      <c r="V18" s="30"/>
      <c r="W18" s="30"/>
      <c r="X18" s="30"/>
      <c r="Y18" s="30"/>
      <c r="Z18" s="30"/>
      <c r="AA18" s="30"/>
      <c r="AB18" s="30"/>
      <c r="AC18" s="30"/>
      <c r="AD18" s="30"/>
      <c r="AE18" s="30"/>
      <c r="AF18" s="31"/>
    </row>
    <row r="19" spans="1:32" s="17" customFormat="1" ht="13.5" customHeight="1">
      <c r="A19" s="227"/>
      <c r="B19" s="238"/>
      <c r="C19" s="99"/>
      <c r="D19" s="216" t="s">
        <v>126</v>
      </c>
      <c r="E19" s="217"/>
      <c r="F19" s="217"/>
      <c r="G19" s="273"/>
      <c r="H19" s="110"/>
      <c r="I19" s="87"/>
      <c r="J19" s="87"/>
      <c r="K19" s="87" t="s">
        <v>80</v>
      </c>
      <c r="L19" s="87"/>
      <c r="M19" s="87"/>
      <c r="N19" s="87"/>
      <c r="O19" s="87"/>
      <c r="P19" s="30"/>
      <c r="Q19" s="30"/>
      <c r="R19" s="30"/>
      <c r="S19" s="30"/>
      <c r="T19" s="30"/>
      <c r="U19" s="30"/>
      <c r="V19" s="30"/>
      <c r="W19" s="30"/>
      <c r="X19" s="30"/>
      <c r="Y19" s="30"/>
      <c r="Z19" s="30"/>
      <c r="AA19" s="30"/>
      <c r="AB19" s="30"/>
      <c r="AC19" s="30"/>
      <c r="AD19" s="30"/>
      <c r="AE19" s="30"/>
      <c r="AF19" s="31"/>
    </row>
    <row r="20" spans="1:32" s="17" customFormat="1" ht="13.5" customHeight="1">
      <c r="A20" s="227"/>
      <c r="B20" s="238"/>
      <c r="C20" s="216" t="s">
        <v>77</v>
      </c>
      <c r="D20" s="217"/>
      <c r="E20" s="217"/>
      <c r="F20" s="217"/>
      <c r="G20" s="273"/>
      <c r="H20" s="110"/>
      <c r="I20" s="87"/>
      <c r="J20" s="87"/>
      <c r="K20" s="87"/>
      <c r="L20" s="87"/>
      <c r="M20" s="87"/>
      <c r="N20" s="87"/>
      <c r="O20" s="87"/>
      <c r="P20" s="30"/>
      <c r="Q20" s="30"/>
      <c r="R20" s="30"/>
      <c r="S20" s="30"/>
      <c r="T20" s="30"/>
      <c r="U20" s="30"/>
      <c r="V20" s="30"/>
      <c r="W20" s="30"/>
      <c r="X20" s="30"/>
      <c r="Y20" s="30"/>
      <c r="Z20" s="30"/>
      <c r="AA20" s="30"/>
      <c r="AB20" s="30"/>
      <c r="AC20" s="30"/>
      <c r="AD20" s="30"/>
      <c r="AE20" s="30"/>
      <c r="AF20" s="31"/>
    </row>
    <row r="21" spans="1:32" s="17" customFormat="1" ht="13.5" customHeight="1">
      <c r="A21" s="227"/>
      <c r="B21" s="238"/>
      <c r="C21" s="99"/>
      <c r="D21" s="216" t="s">
        <v>126</v>
      </c>
      <c r="E21" s="217"/>
      <c r="F21" s="217"/>
      <c r="G21" s="273"/>
      <c r="H21" s="111"/>
      <c r="I21" s="23"/>
      <c r="J21" s="23"/>
      <c r="K21" s="23"/>
      <c r="L21" s="23" t="s">
        <v>80</v>
      </c>
      <c r="M21" s="23"/>
      <c r="N21" s="23"/>
      <c r="O21" s="23"/>
      <c r="P21" s="30"/>
      <c r="Q21" s="30"/>
      <c r="R21" s="30"/>
      <c r="S21" s="30"/>
      <c r="T21" s="30"/>
      <c r="U21" s="30"/>
      <c r="V21" s="30"/>
      <c r="W21" s="30"/>
      <c r="X21" s="30"/>
      <c r="Y21" s="30"/>
      <c r="Z21" s="30"/>
      <c r="AA21" s="30"/>
      <c r="AB21" s="30"/>
      <c r="AC21" s="30"/>
      <c r="AD21" s="30"/>
      <c r="AE21" s="30"/>
      <c r="AF21" s="31"/>
    </row>
    <row r="22" spans="1:32" s="17" customFormat="1" ht="13.5" customHeight="1">
      <c r="A22" s="227"/>
      <c r="B22" s="238"/>
      <c r="C22" s="216" t="s">
        <v>127</v>
      </c>
      <c r="D22" s="217"/>
      <c r="E22" s="217"/>
      <c r="F22" s="217"/>
      <c r="G22" s="273"/>
      <c r="H22" s="112"/>
      <c r="I22" s="23"/>
      <c r="J22" s="23"/>
      <c r="K22" s="23"/>
      <c r="L22" s="23"/>
      <c r="M22" s="23"/>
      <c r="N22" s="23"/>
      <c r="O22" s="23"/>
      <c r="P22" s="30"/>
      <c r="Q22" s="30"/>
      <c r="R22" s="30"/>
      <c r="S22" s="30"/>
      <c r="T22" s="30"/>
      <c r="U22" s="30"/>
      <c r="V22" s="30"/>
      <c r="W22" s="30"/>
      <c r="X22" s="30"/>
      <c r="Y22" s="30"/>
      <c r="Z22" s="30"/>
      <c r="AA22" s="30"/>
      <c r="AB22" s="30"/>
      <c r="AC22" s="30"/>
      <c r="AD22" s="30"/>
      <c r="AE22" s="30"/>
      <c r="AF22" s="31"/>
    </row>
    <row r="23" spans="1:32" s="17" customFormat="1" ht="13.5" customHeight="1">
      <c r="A23" s="227"/>
      <c r="B23" s="238"/>
      <c r="C23" s="79"/>
      <c r="D23" s="217" t="s">
        <v>128</v>
      </c>
      <c r="E23" s="217"/>
      <c r="F23" s="217"/>
      <c r="G23" s="273"/>
      <c r="H23" s="111" t="s">
        <v>80</v>
      </c>
      <c r="I23" s="23"/>
      <c r="J23" s="23"/>
      <c r="K23" s="23"/>
      <c r="L23" s="23"/>
      <c r="M23" s="23"/>
      <c r="N23" s="23"/>
      <c r="O23" s="23"/>
      <c r="P23" s="30"/>
      <c r="Q23" s="30"/>
      <c r="R23" s="30"/>
      <c r="S23" s="30"/>
      <c r="T23" s="30"/>
      <c r="U23" s="30"/>
      <c r="V23" s="30"/>
      <c r="W23" s="30"/>
      <c r="X23" s="30"/>
      <c r="Y23" s="30"/>
      <c r="Z23" s="30"/>
      <c r="AA23" s="30"/>
      <c r="AB23" s="30"/>
      <c r="AC23" s="30"/>
      <c r="AD23" s="30"/>
      <c r="AE23" s="30"/>
      <c r="AF23" s="31"/>
    </row>
    <row r="24" spans="1:32" s="17" customFormat="1" ht="13.5" customHeight="1">
      <c r="A24" s="227"/>
      <c r="B24" s="238"/>
      <c r="C24" s="216" t="s">
        <v>129</v>
      </c>
      <c r="D24" s="217"/>
      <c r="E24" s="217"/>
      <c r="F24" s="217"/>
      <c r="G24" s="273"/>
      <c r="H24" s="113"/>
      <c r="I24" s="23"/>
      <c r="J24" s="23"/>
      <c r="K24" s="23"/>
      <c r="L24" s="23"/>
      <c r="M24" s="23"/>
      <c r="N24" s="23"/>
      <c r="O24" s="23"/>
      <c r="P24" s="30"/>
      <c r="Q24" s="30"/>
      <c r="R24" s="30"/>
      <c r="S24" s="30"/>
      <c r="T24" s="30"/>
      <c r="U24" s="30"/>
      <c r="V24" s="30"/>
      <c r="W24" s="30"/>
      <c r="X24" s="30"/>
      <c r="Y24" s="30"/>
      <c r="Z24" s="30"/>
      <c r="AA24" s="30"/>
      <c r="AB24" s="30"/>
      <c r="AC24" s="30"/>
      <c r="AD24" s="30"/>
      <c r="AE24" s="30"/>
      <c r="AF24" s="31"/>
    </row>
    <row r="25" spans="1:32" s="17" customFormat="1" ht="13.5" customHeight="1" thickBot="1">
      <c r="A25" s="227"/>
      <c r="B25" s="274"/>
      <c r="C25" s="107"/>
      <c r="D25" s="214" t="s">
        <v>130</v>
      </c>
      <c r="E25" s="215"/>
      <c r="F25" s="215"/>
      <c r="G25" s="312"/>
      <c r="H25" s="114"/>
      <c r="I25" s="30"/>
      <c r="J25" s="30"/>
      <c r="K25" s="30"/>
      <c r="L25" s="30"/>
      <c r="M25" s="30" t="s">
        <v>80</v>
      </c>
      <c r="N25" s="30"/>
      <c r="O25" s="30"/>
      <c r="P25" s="30"/>
      <c r="Q25" s="30"/>
      <c r="R25" s="30"/>
      <c r="S25" s="30"/>
      <c r="T25" s="30"/>
      <c r="U25" s="30"/>
      <c r="V25" s="30"/>
      <c r="W25" s="30"/>
      <c r="X25" s="30"/>
      <c r="Y25" s="30"/>
      <c r="Z25" s="30"/>
      <c r="AA25" s="30"/>
      <c r="AB25" s="30"/>
      <c r="AC25" s="30"/>
      <c r="AD25" s="30"/>
      <c r="AE25" s="30"/>
      <c r="AF25" s="31"/>
    </row>
    <row r="26" spans="1:32" s="17" customFormat="1" ht="24" customHeight="1">
      <c r="A26" s="218" t="s">
        <v>47</v>
      </c>
      <c r="B26" s="220"/>
      <c r="C26" s="221"/>
      <c r="D26" s="221"/>
      <c r="E26" s="221"/>
      <c r="F26" s="222"/>
      <c r="G26" s="35" t="s">
        <v>36</v>
      </c>
      <c r="H26" s="36" t="s">
        <v>81</v>
      </c>
      <c r="I26" s="37" t="s">
        <v>81</v>
      </c>
      <c r="J26" s="37" t="s">
        <v>81</v>
      </c>
      <c r="K26" s="37" t="s">
        <v>81</v>
      </c>
      <c r="L26" s="37" t="s">
        <v>81</v>
      </c>
      <c r="M26" s="37" t="s">
        <v>82</v>
      </c>
      <c r="N26" s="37"/>
      <c r="O26" s="37"/>
      <c r="P26" s="37"/>
      <c r="Q26" s="37"/>
      <c r="R26" s="37"/>
      <c r="S26" s="37"/>
      <c r="T26" s="37"/>
      <c r="U26" s="37"/>
      <c r="V26" s="37"/>
      <c r="W26" s="37"/>
      <c r="X26" s="37"/>
      <c r="Y26" s="37"/>
      <c r="Z26" s="37"/>
      <c r="AA26" s="37"/>
      <c r="AB26" s="37"/>
      <c r="AC26" s="37"/>
      <c r="AD26" s="37"/>
      <c r="AE26" s="37"/>
      <c r="AF26" s="38"/>
    </row>
    <row r="27" spans="1:32" s="17" customFormat="1" ht="27" customHeight="1">
      <c r="A27" s="219"/>
      <c r="B27" s="223"/>
      <c r="C27" s="224"/>
      <c r="D27" s="224"/>
      <c r="E27" s="224"/>
      <c r="F27" s="225"/>
      <c r="G27" s="39" t="s">
        <v>37</v>
      </c>
      <c r="H27" s="40"/>
      <c r="I27" s="74"/>
      <c r="J27" s="74"/>
      <c r="K27" s="74"/>
      <c r="L27" s="74"/>
      <c r="M27" s="74"/>
      <c r="N27" s="74"/>
      <c r="O27" s="74"/>
      <c r="P27" s="74"/>
      <c r="Q27" s="74"/>
      <c r="R27" s="74"/>
      <c r="S27" s="74"/>
      <c r="T27" s="74"/>
      <c r="U27" s="74"/>
      <c r="V27" s="74"/>
      <c r="W27" s="74"/>
      <c r="X27" s="74"/>
      <c r="Y27" s="74"/>
      <c r="Z27" s="74"/>
      <c r="AA27" s="74"/>
      <c r="AB27" s="74"/>
      <c r="AC27" s="74"/>
      <c r="AD27" s="74"/>
      <c r="AE27" s="74"/>
      <c r="AF27" s="42"/>
    </row>
    <row r="28" spans="1:32" s="17" customFormat="1" ht="27" customHeight="1">
      <c r="A28" s="219"/>
      <c r="B28" s="223"/>
      <c r="C28" s="224"/>
      <c r="D28" s="224"/>
      <c r="E28" s="224"/>
      <c r="F28" s="225"/>
      <c r="G28" s="39" t="s">
        <v>38</v>
      </c>
      <c r="H28" s="43"/>
      <c r="I28" s="44"/>
      <c r="J28" s="44"/>
      <c r="K28" s="44"/>
      <c r="L28" s="44"/>
      <c r="M28" s="44"/>
      <c r="N28" s="44"/>
      <c r="O28" s="44"/>
      <c r="P28" s="44"/>
      <c r="Q28" s="44"/>
      <c r="R28" s="44"/>
      <c r="S28" s="44"/>
      <c r="T28" s="44"/>
      <c r="U28" s="44"/>
      <c r="V28" s="44"/>
      <c r="W28" s="44"/>
      <c r="X28" s="44"/>
      <c r="Y28" s="44"/>
      <c r="Z28" s="44"/>
      <c r="AA28" s="44"/>
      <c r="AB28" s="44"/>
      <c r="AC28" s="44"/>
      <c r="AD28" s="44"/>
      <c r="AE28" s="44"/>
      <c r="AF28" s="45"/>
    </row>
    <row r="29" spans="1:32" s="17" customFormat="1" ht="24.75" customHeight="1">
      <c r="A29" s="219"/>
      <c r="B29" s="223" t="s">
        <v>83</v>
      </c>
      <c r="C29" s="224"/>
      <c r="D29" s="224"/>
      <c r="E29" s="224"/>
      <c r="F29" s="225"/>
      <c r="G29" s="46" t="s">
        <v>1</v>
      </c>
      <c r="H29" s="40"/>
      <c r="I29" s="74"/>
      <c r="J29" s="74"/>
      <c r="K29" s="74"/>
      <c r="L29" s="74"/>
      <c r="M29" s="74"/>
      <c r="N29" s="70"/>
      <c r="O29" s="74"/>
      <c r="P29" s="74"/>
      <c r="Q29" s="74"/>
      <c r="R29" s="74"/>
      <c r="S29" s="74"/>
      <c r="T29" s="74"/>
      <c r="U29" s="74"/>
      <c r="V29" s="74"/>
      <c r="W29" s="74"/>
      <c r="X29" s="74"/>
      <c r="Y29" s="74"/>
      <c r="Z29" s="74"/>
      <c r="AA29" s="74"/>
      <c r="AB29" s="74"/>
      <c r="AC29" s="74"/>
      <c r="AD29" s="74"/>
      <c r="AE29" s="74"/>
      <c r="AF29" s="42"/>
    </row>
    <row r="30" spans="1:32" s="17" customFormat="1" ht="24.75" customHeight="1">
      <c r="A30" s="258" t="s">
        <v>48</v>
      </c>
      <c r="B30" s="260" t="s">
        <v>40</v>
      </c>
      <c r="C30" s="260"/>
      <c r="D30" s="260"/>
      <c r="E30" s="260"/>
      <c r="F30" s="261" t="str">
        <f>GetBugSheetName()</f>
        <v>Edit_Logout_</v>
      </c>
      <c r="G30" s="262"/>
      <c r="H30" s="60"/>
      <c r="I30" s="53"/>
      <c r="J30" s="53"/>
      <c r="K30" s="53"/>
      <c r="L30" s="53"/>
      <c r="M30" s="53"/>
      <c r="N30" s="53"/>
      <c r="O30" s="53"/>
      <c r="P30" s="53"/>
      <c r="Q30" s="53"/>
      <c r="R30" s="53"/>
      <c r="S30" s="53"/>
      <c r="T30" s="53"/>
      <c r="U30" s="53"/>
      <c r="V30" s="53"/>
      <c r="W30" s="53"/>
      <c r="X30" s="53"/>
      <c r="Y30" s="53"/>
      <c r="Z30" s="53"/>
      <c r="AA30" s="53"/>
      <c r="AB30" s="53"/>
      <c r="AC30" s="53"/>
      <c r="AD30" s="53"/>
      <c r="AE30" s="53"/>
      <c r="AF30" s="54"/>
    </row>
    <row r="31" spans="1:32" s="17" customFormat="1" ht="36" customHeight="1" thickBot="1">
      <c r="A31" s="259"/>
      <c r="B31" s="246" t="s">
        <v>30</v>
      </c>
      <c r="C31" s="247"/>
      <c r="D31" s="247"/>
      <c r="E31" s="248"/>
      <c r="F31" s="246"/>
      <c r="G31" s="263"/>
      <c r="H31" s="61"/>
      <c r="I31" s="55"/>
      <c r="J31" s="55"/>
      <c r="K31" s="55"/>
      <c r="L31" s="55"/>
      <c r="M31" s="55"/>
      <c r="N31" s="55"/>
      <c r="O31" s="55"/>
      <c r="P31" s="55"/>
      <c r="Q31" s="55"/>
      <c r="R31" s="55"/>
      <c r="S31" s="55" t="str">
        <f t="shared" ref="S31:AF31" si="1">IF(S30="","",(SUM(LEN(S30)-LEN(SUBSTITUTE(S30,",","")))/LEN(",")) + 1 )</f>
        <v/>
      </c>
      <c r="T31" s="55" t="str">
        <f t="shared" si="1"/>
        <v/>
      </c>
      <c r="U31" s="55" t="str">
        <f t="shared" si="1"/>
        <v/>
      </c>
      <c r="V31" s="55" t="str">
        <f t="shared" si="1"/>
        <v/>
      </c>
      <c r="W31" s="55" t="str">
        <f t="shared" si="1"/>
        <v/>
      </c>
      <c r="X31" s="55" t="str">
        <f t="shared" si="1"/>
        <v/>
      </c>
      <c r="Y31" s="55" t="str">
        <f t="shared" si="1"/>
        <v/>
      </c>
      <c r="Z31" s="55" t="str">
        <f t="shared" si="1"/>
        <v/>
      </c>
      <c r="AA31" s="55" t="str">
        <f t="shared" si="1"/>
        <v/>
      </c>
      <c r="AB31" s="55" t="str">
        <f t="shared" si="1"/>
        <v/>
      </c>
      <c r="AC31" s="55" t="str">
        <f t="shared" si="1"/>
        <v/>
      </c>
      <c r="AD31" s="55" t="str">
        <f t="shared" si="1"/>
        <v/>
      </c>
      <c r="AE31" s="55" t="str">
        <f t="shared" si="1"/>
        <v/>
      </c>
      <c r="AF31" s="56" t="str">
        <f t="shared" si="1"/>
        <v/>
      </c>
    </row>
    <row r="32" spans="1:32" s="17" customFormat="1">
      <c r="H32" s="47"/>
      <c r="I32" s="47"/>
      <c r="J32" s="47"/>
      <c r="K32" s="47"/>
      <c r="L32" s="47"/>
      <c r="M32" s="47"/>
      <c r="N32" s="48"/>
      <c r="O32" s="49"/>
      <c r="P32" s="47"/>
      <c r="Q32" s="47"/>
      <c r="R32" s="47"/>
      <c r="S32" s="47"/>
      <c r="T32" s="47"/>
      <c r="U32" s="47"/>
      <c r="V32" s="47"/>
    </row>
  </sheetData>
  <sheetProtection insertRows="0"/>
  <protectedRanges>
    <protectedRange sqref="H27:AF30 P26:AF26" name="Range3_1_1"/>
    <protectedRange sqref="H4:AF4 P5:AF25" name="Range2_1_1"/>
    <protectedRange sqref="B4:G4" name="Range2_1_2"/>
    <protectedRange sqref="B10:B12 B5:G9" name="Range2_1_12_1"/>
    <protectedRange sqref="C10:G11" name="Range2_1_3_1_1"/>
    <protectedRange sqref="C12:G12" name="Range2_1_4_1"/>
    <protectedRange sqref="B13:G15 B16:B25" name="Range2_1_3"/>
    <protectedRange sqref="C16:G23" name="Range2_1_12_2"/>
    <protectedRange sqref="C24:G24" name="Range2_1_12"/>
    <protectedRange sqref="C25:G25" name="Range2_1_14"/>
    <protectedRange sqref="L26:O26" name="Range3_1_1_1"/>
    <protectedRange sqref="N17 L5:O16 L18:O25 L17" name="Range2_1_1_1"/>
    <protectedRange sqref="O17 M17" name="Range2_1_2_9_3"/>
    <protectedRange sqref="B1:O1 P2 T1 B2:E2" name="Range1_1_1"/>
    <protectedRange sqref="P2 AC2:AF2" name="Range1_1_1_1"/>
    <protectedRange sqref="AC1:AF1" name="Range1_1_1_2"/>
  </protectedRanges>
  <mergeCells count="50">
    <mergeCell ref="AC2:AF2"/>
    <mergeCell ref="B1:E1"/>
    <mergeCell ref="F1:O1"/>
    <mergeCell ref="P1:S1"/>
    <mergeCell ref="T1:Z1"/>
    <mergeCell ref="AA1:AB1"/>
    <mergeCell ref="AC1:AF1"/>
    <mergeCell ref="B2:E2"/>
    <mergeCell ref="F2:H2"/>
    <mergeCell ref="I2:O2"/>
    <mergeCell ref="P2:Z2"/>
    <mergeCell ref="AA2:AB2"/>
    <mergeCell ref="A4:A12"/>
    <mergeCell ref="B4:G4"/>
    <mergeCell ref="B5:G5"/>
    <mergeCell ref="C6:G6"/>
    <mergeCell ref="D8:G8"/>
    <mergeCell ref="B6:B12"/>
    <mergeCell ref="C7:G7"/>
    <mergeCell ref="C8:C9"/>
    <mergeCell ref="D9:G9"/>
    <mergeCell ref="C10:G10"/>
    <mergeCell ref="C11:G11"/>
    <mergeCell ref="C12:G12"/>
    <mergeCell ref="A30:A31"/>
    <mergeCell ref="B30:E30"/>
    <mergeCell ref="F30:G30"/>
    <mergeCell ref="B31:E31"/>
    <mergeCell ref="F31:G31"/>
    <mergeCell ref="D19:G19"/>
    <mergeCell ref="A26:A29"/>
    <mergeCell ref="B26:F26"/>
    <mergeCell ref="B27:F27"/>
    <mergeCell ref="B28:F28"/>
    <mergeCell ref="B29:F29"/>
    <mergeCell ref="A13:A25"/>
    <mergeCell ref="B13:G13"/>
    <mergeCell ref="C14:G14"/>
    <mergeCell ref="B14:B25"/>
    <mergeCell ref="C18:G18"/>
    <mergeCell ref="C15:C17"/>
    <mergeCell ref="D15:G15"/>
    <mergeCell ref="D16:G16"/>
    <mergeCell ref="E17:G17"/>
    <mergeCell ref="C24:G24"/>
    <mergeCell ref="D25:G25"/>
    <mergeCell ref="C20:G20"/>
    <mergeCell ref="D21:G21"/>
    <mergeCell ref="C22:G22"/>
    <mergeCell ref="D23:G23"/>
  </mergeCells>
  <conditionalFormatting sqref="H3:AF31">
    <cfRule type="expression" dxfId="95" priority="5" stopIfTrue="1">
      <formula>H$29="NA"</formula>
    </cfRule>
    <cfRule type="expression" dxfId="94" priority="6" stopIfTrue="1">
      <formula>H$29="NG"</formula>
    </cfRule>
  </conditionalFormatting>
  <dataValidations count="10">
    <dataValidation allowBlank="1" showInputMessage="1" showErrorMessage="1" promptTitle="Condition Type" prompt="N : Normal _x000a_A : Abnormal _x000a_B : Boundary" sqref="G26"/>
    <dataValidation allowBlank="1" showInputMessage="1" showErrorMessage="1" promptTitle="Enter" prompt="Name of the person who performed the test" sqref="G27"/>
    <dataValidation allowBlank="1" showInputMessage="1" showErrorMessage="1" promptTitle="Testing Date" prompt="Date on which test was performed in yyyy/mm/dd format" sqref="G28"/>
    <dataValidation allowBlank="1" showInputMessage="1" showErrorMessage="1" promptTitle="Test Result" prompt="OK : Result is OK      _x000a_NG : Result is not as expected_x000a_NA : Not Applicable      _x000a_PT : Testing Pending (as Data not available/ cannot be generated currently)" sqref="G29"/>
    <dataValidation allowBlank="1" showInputMessage="1" showErrorMessage="1" promptTitle="Bug ID" prompt="Unique ID throughout the project._x000a_For every Bug found during Test as well as Re-Test, a new Bug ID needs to be entered here (as a comma seperated value)" sqref="B30:E30"/>
    <dataValidation allowBlank="1" showInputMessage="1" showErrorMessage="1" promptTitle="PCL sheet name" prompt=" " sqref="F30:G30"/>
    <dataValidation type="list" allowBlank="1" showInputMessage="1" showErrorMessage="1" sqref="H29:AF29">
      <formula1>"OK, NG, NA, PT"</formula1>
    </dataValidation>
    <dataValidation type="list" allowBlank="1" showInputMessage="1" showErrorMessage="1" sqref="H26:AF26">
      <formula1>"N, A, B"</formula1>
    </dataValidation>
    <dataValidation allowBlank="1" showInputMessage="1" showErrorMessage="1" promptTitle="Check points" prompt="that need / need not be executed" sqref="A13:A25"/>
    <dataValidation allowBlank="1" showInputMessage="1" showErrorMessage="1" promptTitle="Input conditions" prompt="that need to be checked." sqref="A4:A12"/>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sheetPr codeName="Sheet6"/>
  <dimension ref="A1:AF34"/>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sqref="A1:AF2"/>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131</v>
      </c>
      <c r="J2" s="247"/>
      <c r="K2" s="247"/>
      <c r="L2" s="247"/>
      <c r="M2" s="247"/>
      <c r="N2" s="247"/>
      <c r="O2" s="248"/>
      <c r="P2" s="243"/>
      <c r="Q2" s="244"/>
      <c r="R2" s="244"/>
      <c r="S2" s="244"/>
      <c r="T2" s="244"/>
      <c r="U2" s="244"/>
      <c r="V2" s="244"/>
      <c r="W2" s="244"/>
      <c r="X2" s="244"/>
      <c r="Y2" s="244"/>
      <c r="Z2" s="245"/>
      <c r="AA2" s="255" t="s">
        <v>289</v>
      </c>
      <c r="AB2" s="256"/>
      <c r="AC2" s="243" t="s">
        <v>294</v>
      </c>
      <c r="AD2" s="244"/>
      <c r="AE2" s="244"/>
      <c r="AF2" s="257"/>
    </row>
    <row r="3" spans="1:32" ht="37.5" customHeight="1" thickBot="1">
      <c r="A3" s="66" t="s">
        <v>43</v>
      </c>
      <c r="B3" s="10"/>
      <c r="C3" s="10"/>
      <c r="D3" s="10"/>
      <c r="E3" s="10"/>
      <c r="F3" s="10"/>
      <c r="G3" s="65" t="s">
        <v>44</v>
      </c>
      <c r="H3" s="11">
        <f>IF(COUNTA(H4:H28)&gt;0,1,"")</f>
        <v>1</v>
      </c>
      <c r="I3" s="12">
        <f t="shared" ref="I3:AF3" si="0">IF(COUNTA(I4:I28)&gt;0,IF(H3&gt;0,H3+1,""),"")</f>
        <v>2</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323" t="s">
        <v>292</v>
      </c>
      <c r="C4" s="327"/>
      <c r="D4" s="327"/>
      <c r="E4" s="327"/>
      <c r="F4" s="327"/>
      <c r="G4" s="328"/>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131</v>
      </c>
      <c r="C5" s="329"/>
      <c r="D5" s="329"/>
      <c r="E5" s="329"/>
      <c r="F5" s="329"/>
      <c r="G5" s="330"/>
      <c r="H5" s="116" t="s">
        <v>80</v>
      </c>
      <c r="I5" s="117" t="s">
        <v>80</v>
      </c>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233"/>
      <c r="B6" s="277"/>
      <c r="C6" s="236" t="s">
        <v>140</v>
      </c>
      <c r="D6" s="331"/>
      <c r="E6" s="331"/>
      <c r="F6" s="331"/>
      <c r="G6" s="332"/>
      <c r="H6" s="118"/>
      <c r="I6" s="117"/>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233"/>
      <c r="B7" s="238"/>
      <c r="C7" s="236" t="s">
        <v>141</v>
      </c>
      <c r="D7" s="331"/>
      <c r="E7" s="331"/>
      <c r="F7" s="331"/>
      <c r="G7" s="332"/>
      <c r="H7" s="113" t="s">
        <v>80</v>
      </c>
      <c r="I7" s="30"/>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thickBot="1">
      <c r="A8" s="233"/>
      <c r="B8" s="274"/>
      <c r="C8" s="234" t="s">
        <v>65</v>
      </c>
      <c r="D8" s="329"/>
      <c r="E8" s="329"/>
      <c r="F8" s="329"/>
      <c r="G8" s="330"/>
      <c r="H8" s="113"/>
      <c r="I8" s="30" t="s">
        <v>80</v>
      </c>
      <c r="J8" s="23"/>
      <c r="K8" s="62"/>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226" t="s">
        <v>46</v>
      </c>
      <c r="B9" s="229" t="s">
        <v>25</v>
      </c>
      <c r="C9" s="230"/>
      <c r="D9" s="230"/>
      <c r="E9" s="230"/>
      <c r="F9" s="230"/>
      <c r="G9" s="230"/>
      <c r="H9" s="25"/>
      <c r="I9" s="26"/>
      <c r="J9" s="26"/>
      <c r="K9" s="68"/>
      <c r="L9" s="26"/>
      <c r="M9" s="26"/>
      <c r="N9" s="26"/>
      <c r="O9" s="26"/>
      <c r="P9" s="26"/>
      <c r="Q9" s="26"/>
      <c r="R9" s="26"/>
      <c r="S9" s="26"/>
      <c r="T9" s="26"/>
      <c r="U9" s="26"/>
      <c r="V9" s="26"/>
      <c r="W9" s="26"/>
      <c r="X9" s="26"/>
      <c r="Y9" s="26"/>
      <c r="Z9" s="26"/>
      <c r="AA9" s="26"/>
      <c r="AB9" s="26"/>
      <c r="AC9" s="26"/>
      <c r="AD9" s="26"/>
      <c r="AE9" s="26"/>
      <c r="AF9" s="27"/>
    </row>
    <row r="10" spans="1:32" s="17" customFormat="1" ht="13.5" customHeight="1">
      <c r="A10" s="227"/>
      <c r="B10" s="277"/>
      <c r="C10" s="268" t="s">
        <v>73</v>
      </c>
      <c r="D10" s="268"/>
      <c r="E10" s="268"/>
      <c r="F10" s="268"/>
      <c r="G10" s="288"/>
      <c r="H10" s="119"/>
      <c r="I10" s="23"/>
      <c r="J10" s="23"/>
      <c r="K10" s="62"/>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227"/>
      <c r="B11" s="238"/>
      <c r="C11" s="115"/>
      <c r="D11" s="268" t="s">
        <v>74</v>
      </c>
      <c r="E11" s="268"/>
      <c r="F11" s="268"/>
      <c r="G11" s="288"/>
      <c r="H11" s="119" t="s">
        <v>80</v>
      </c>
      <c r="I11" s="82"/>
      <c r="J11" s="23"/>
      <c r="K11" s="62"/>
      <c r="L11" s="23"/>
      <c r="M11" s="23"/>
      <c r="N11" s="23"/>
      <c r="O11" s="23"/>
      <c r="P11" s="23"/>
      <c r="Q11" s="23"/>
      <c r="R11" s="23"/>
      <c r="S11" s="23"/>
      <c r="T11" s="23"/>
      <c r="U11" s="23"/>
      <c r="V11" s="23"/>
      <c r="W11" s="23"/>
      <c r="X11" s="23"/>
      <c r="Y11" s="23"/>
      <c r="Z11" s="23"/>
      <c r="AA11" s="23"/>
      <c r="AB11" s="23"/>
      <c r="AC11" s="23"/>
      <c r="AD11" s="23"/>
      <c r="AE11" s="23"/>
      <c r="AF11" s="24"/>
    </row>
    <row r="12" spans="1:32" s="17" customFormat="1" ht="25.5" customHeight="1">
      <c r="A12" s="227"/>
      <c r="B12" s="238"/>
      <c r="C12" s="283" t="s">
        <v>139</v>
      </c>
      <c r="D12" s="283"/>
      <c r="E12" s="283"/>
      <c r="F12" s="283"/>
      <c r="G12" s="309"/>
      <c r="H12" s="119"/>
      <c r="I12" s="82"/>
      <c r="J12" s="23"/>
      <c r="K12" s="62"/>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227"/>
      <c r="B13" s="238"/>
      <c r="C13" s="285"/>
      <c r="D13" s="216" t="s">
        <v>97</v>
      </c>
      <c r="E13" s="217"/>
      <c r="F13" s="217"/>
      <c r="G13" s="273"/>
      <c r="H13" s="119" t="s">
        <v>80</v>
      </c>
      <c r="I13" s="82"/>
      <c r="J13" s="23"/>
      <c r="K13" s="62"/>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c r="A14" s="227"/>
      <c r="B14" s="238"/>
      <c r="C14" s="285"/>
      <c r="D14" s="216" t="s">
        <v>132</v>
      </c>
      <c r="E14" s="217"/>
      <c r="F14" s="217"/>
      <c r="G14" s="273"/>
      <c r="H14" s="119" t="s">
        <v>80</v>
      </c>
      <c r="I14" s="82"/>
      <c r="J14" s="30"/>
      <c r="K14" s="69"/>
      <c r="L14" s="30"/>
      <c r="M14" s="30"/>
      <c r="N14" s="30"/>
      <c r="O14" s="30"/>
      <c r="P14" s="30"/>
      <c r="Q14" s="30"/>
      <c r="R14" s="30"/>
      <c r="S14" s="30"/>
      <c r="T14" s="30"/>
      <c r="U14" s="30"/>
      <c r="V14" s="30"/>
      <c r="W14" s="30"/>
      <c r="X14" s="30"/>
      <c r="Y14" s="30"/>
      <c r="Z14" s="30"/>
      <c r="AA14" s="30"/>
      <c r="AB14" s="30"/>
      <c r="AC14" s="30"/>
      <c r="AD14" s="30"/>
      <c r="AE14" s="30"/>
      <c r="AF14" s="31"/>
    </row>
    <row r="15" spans="1:32" s="17" customFormat="1" ht="13.5" customHeight="1">
      <c r="A15" s="227"/>
      <c r="B15" s="238"/>
      <c r="C15" s="285"/>
      <c r="D15" s="216" t="s">
        <v>101</v>
      </c>
      <c r="E15" s="217"/>
      <c r="F15" s="217"/>
      <c r="G15" s="273"/>
      <c r="H15" s="119" t="s">
        <v>80</v>
      </c>
      <c r="I15" s="82"/>
      <c r="J15" s="30"/>
      <c r="K15" s="69"/>
      <c r="L15" s="30"/>
      <c r="M15" s="30"/>
      <c r="N15" s="30"/>
      <c r="O15" s="30"/>
      <c r="P15" s="30"/>
      <c r="Q15" s="30"/>
      <c r="R15" s="30"/>
      <c r="S15" s="30"/>
      <c r="T15" s="30"/>
      <c r="U15" s="30"/>
      <c r="V15" s="30"/>
      <c r="W15" s="30"/>
      <c r="X15" s="30"/>
      <c r="Y15" s="30"/>
      <c r="Z15" s="30"/>
      <c r="AA15" s="30"/>
      <c r="AB15" s="30"/>
      <c r="AC15" s="30"/>
      <c r="AD15" s="30"/>
      <c r="AE15" s="30"/>
      <c r="AF15" s="31"/>
    </row>
    <row r="16" spans="1:32" s="17" customFormat="1" ht="13.5" customHeight="1">
      <c r="A16" s="227"/>
      <c r="B16" s="238"/>
      <c r="C16" s="285"/>
      <c r="D16" s="216" t="s">
        <v>102</v>
      </c>
      <c r="E16" s="217"/>
      <c r="F16" s="217"/>
      <c r="G16" s="273"/>
      <c r="H16" s="119" t="s">
        <v>80</v>
      </c>
      <c r="I16" s="82"/>
      <c r="J16" s="30"/>
      <c r="K16" s="69"/>
      <c r="L16" s="30"/>
      <c r="M16" s="30"/>
      <c r="N16" s="30"/>
      <c r="O16" s="30"/>
      <c r="P16" s="30"/>
      <c r="Q16" s="30"/>
      <c r="R16" s="30"/>
      <c r="S16" s="30"/>
      <c r="T16" s="30"/>
      <c r="U16" s="30"/>
      <c r="V16" s="30"/>
      <c r="W16" s="30"/>
      <c r="X16" s="30"/>
      <c r="Y16" s="30"/>
      <c r="Z16" s="30"/>
      <c r="AA16" s="30"/>
      <c r="AB16" s="30"/>
      <c r="AC16" s="30"/>
      <c r="AD16" s="30"/>
      <c r="AE16" s="30"/>
      <c r="AF16" s="31"/>
    </row>
    <row r="17" spans="1:32" s="17" customFormat="1" ht="13.5" customHeight="1">
      <c r="A17" s="227"/>
      <c r="B17" s="238"/>
      <c r="C17" s="285"/>
      <c r="D17" s="216" t="s">
        <v>98</v>
      </c>
      <c r="E17" s="217"/>
      <c r="F17" s="217"/>
      <c r="G17" s="273"/>
      <c r="H17" s="119" t="s">
        <v>80</v>
      </c>
      <c r="I17" s="82"/>
      <c r="J17" s="30"/>
      <c r="K17" s="69"/>
      <c r="L17" s="30"/>
      <c r="M17" s="30"/>
      <c r="N17" s="30"/>
      <c r="O17" s="30"/>
      <c r="P17" s="30"/>
      <c r="Q17" s="30"/>
      <c r="R17" s="30"/>
      <c r="S17" s="30"/>
      <c r="T17" s="30"/>
      <c r="U17" s="30"/>
      <c r="V17" s="30"/>
      <c r="W17" s="30"/>
      <c r="X17" s="30"/>
      <c r="Y17" s="30"/>
      <c r="Z17" s="30"/>
      <c r="AA17" s="30"/>
      <c r="AB17" s="30"/>
      <c r="AC17" s="30"/>
      <c r="AD17" s="30"/>
      <c r="AE17" s="30"/>
      <c r="AF17" s="31"/>
    </row>
    <row r="18" spans="1:32" s="17" customFormat="1" ht="13.5" customHeight="1">
      <c r="A18" s="227"/>
      <c r="B18" s="238"/>
      <c r="C18" s="285"/>
      <c r="D18" s="216" t="s">
        <v>99</v>
      </c>
      <c r="E18" s="217"/>
      <c r="F18" s="217"/>
      <c r="G18" s="273"/>
      <c r="H18" s="119" t="s">
        <v>80</v>
      </c>
      <c r="I18" s="82"/>
      <c r="J18" s="30"/>
      <c r="K18" s="69"/>
      <c r="L18" s="30"/>
      <c r="M18" s="30"/>
      <c r="N18" s="30"/>
      <c r="O18" s="30"/>
      <c r="P18" s="30"/>
      <c r="Q18" s="30"/>
      <c r="R18" s="30"/>
      <c r="S18" s="30"/>
      <c r="T18" s="30"/>
      <c r="U18" s="30"/>
      <c r="V18" s="30"/>
      <c r="W18" s="30"/>
      <c r="X18" s="30"/>
      <c r="Y18" s="30"/>
      <c r="Z18" s="30"/>
      <c r="AA18" s="30"/>
      <c r="AB18" s="30"/>
      <c r="AC18" s="30"/>
      <c r="AD18" s="30"/>
      <c r="AE18" s="30"/>
      <c r="AF18" s="31"/>
    </row>
    <row r="19" spans="1:32" s="17" customFormat="1" ht="13.5" customHeight="1">
      <c r="A19" s="227"/>
      <c r="B19" s="238"/>
      <c r="C19" s="285"/>
      <c r="D19" s="216" t="s">
        <v>133</v>
      </c>
      <c r="E19" s="217"/>
      <c r="F19" s="217"/>
      <c r="G19" s="273"/>
      <c r="H19" s="119" t="s">
        <v>80</v>
      </c>
      <c r="I19" s="82"/>
      <c r="J19" s="30"/>
      <c r="K19" s="69"/>
      <c r="L19" s="30"/>
      <c r="M19" s="30"/>
      <c r="N19" s="30"/>
      <c r="O19" s="30"/>
      <c r="P19" s="30"/>
      <c r="Q19" s="30"/>
      <c r="R19" s="30"/>
      <c r="S19" s="30"/>
      <c r="T19" s="30"/>
      <c r="U19" s="30"/>
      <c r="V19" s="30"/>
      <c r="W19" s="30"/>
      <c r="X19" s="30"/>
      <c r="Y19" s="30"/>
      <c r="Z19" s="30"/>
      <c r="AA19" s="30"/>
      <c r="AB19" s="30"/>
      <c r="AC19" s="30"/>
      <c r="AD19" s="30"/>
      <c r="AE19" s="30"/>
      <c r="AF19" s="31"/>
    </row>
    <row r="20" spans="1:32" s="17" customFormat="1" ht="13.5" customHeight="1">
      <c r="A20" s="227"/>
      <c r="B20" s="238"/>
      <c r="C20" s="285"/>
      <c r="D20" s="216" t="s">
        <v>104</v>
      </c>
      <c r="E20" s="217"/>
      <c r="F20" s="217"/>
      <c r="G20" s="273"/>
      <c r="H20" s="119" t="s">
        <v>80</v>
      </c>
      <c r="I20" s="82"/>
      <c r="J20" s="30"/>
      <c r="K20" s="69"/>
      <c r="L20" s="30"/>
      <c r="M20" s="30"/>
      <c r="N20" s="30"/>
      <c r="O20" s="30"/>
      <c r="P20" s="30"/>
      <c r="Q20" s="30"/>
      <c r="R20" s="30"/>
      <c r="S20" s="30"/>
      <c r="T20" s="30"/>
      <c r="U20" s="30"/>
      <c r="V20" s="30"/>
      <c r="W20" s="30"/>
      <c r="X20" s="30"/>
      <c r="Y20" s="30"/>
      <c r="Z20" s="30"/>
      <c r="AA20" s="30"/>
      <c r="AB20" s="30"/>
      <c r="AC20" s="30"/>
      <c r="AD20" s="30"/>
      <c r="AE20" s="30"/>
      <c r="AF20" s="31"/>
    </row>
    <row r="21" spans="1:32" s="17" customFormat="1" ht="13.5" customHeight="1">
      <c r="A21" s="227"/>
      <c r="B21" s="238"/>
      <c r="C21" s="285"/>
      <c r="D21" s="216" t="s">
        <v>105</v>
      </c>
      <c r="E21" s="217"/>
      <c r="F21" s="217"/>
      <c r="G21" s="273"/>
      <c r="H21" s="119" t="s">
        <v>80</v>
      </c>
      <c r="I21" s="82"/>
      <c r="J21" s="30"/>
      <c r="K21" s="69"/>
      <c r="L21" s="30"/>
      <c r="M21" s="30"/>
      <c r="N21" s="30"/>
      <c r="O21" s="30"/>
      <c r="P21" s="30"/>
      <c r="Q21" s="30"/>
      <c r="R21" s="30"/>
      <c r="S21" s="30"/>
      <c r="T21" s="30"/>
      <c r="U21" s="30"/>
      <c r="V21" s="30"/>
      <c r="W21" s="30"/>
      <c r="X21" s="30"/>
      <c r="Y21" s="30"/>
      <c r="Z21" s="30"/>
      <c r="AA21" s="30"/>
      <c r="AB21" s="30"/>
      <c r="AC21" s="30"/>
      <c r="AD21" s="30"/>
      <c r="AE21" s="30"/>
      <c r="AF21" s="31"/>
    </row>
    <row r="22" spans="1:32" s="17" customFormat="1" ht="13.5" customHeight="1">
      <c r="A22" s="227"/>
      <c r="B22" s="238"/>
      <c r="C22" s="285"/>
      <c r="D22" s="216" t="s">
        <v>134</v>
      </c>
      <c r="E22" s="217"/>
      <c r="F22" s="217"/>
      <c r="G22" s="273"/>
      <c r="H22" s="119" t="s">
        <v>80</v>
      </c>
      <c r="I22" s="82"/>
      <c r="J22" s="30"/>
      <c r="K22" s="69"/>
      <c r="L22" s="30"/>
      <c r="M22" s="30"/>
      <c r="N22" s="30"/>
      <c r="O22" s="30"/>
      <c r="P22" s="30"/>
      <c r="Q22" s="30"/>
      <c r="R22" s="30"/>
      <c r="S22" s="30"/>
      <c r="T22" s="30"/>
      <c r="U22" s="30"/>
      <c r="V22" s="30"/>
      <c r="W22" s="30"/>
      <c r="X22" s="30"/>
      <c r="Y22" s="30"/>
      <c r="Z22" s="30"/>
      <c r="AA22" s="30"/>
      <c r="AB22" s="30"/>
      <c r="AC22" s="30"/>
      <c r="AD22" s="30"/>
      <c r="AE22" s="30"/>
      <c r="AF22" s="31"/>
    </row>
    <row r="23" spans="1:32" s="17" customFormat="1" ht="13.5" customHeight="1">
      <c r="A23" s="227"/>
      <c r="B23" s="238"/>
      <c r="C23" s="285"/>
      <c r="D23" s="216" t="s">
        <v>135</v>
      </c>
      <c r="E23" s="217"/>
      <c r="F23" s="217"/>
      <c r="G23" s="273"/>
      <c r="H23" s="119" t="s">
        <v>80</v>
      </c>
      <c r="I23" s="82"/>
      <c r="J23" s="30"/>
      <c r="K23" s="69"/>
      <c r="L23" s="30"/>
      <c r="M23" s="30"/>
      <c r="N23" s="30"/>
      <c r="O23" s="30"/>
      <c r="P23" s="30"/>
      <c r="Q23" s="30"/>
      <c r="R23" s="30"/>
      <c r="S23" s="30"/>
      <c r="T23" s="30"/>
      <c r="U23" s="30"/>
      <c r="V23" s="30"/>
      <c r="W23" s="30"/>
      <c r="X23" s="30"/>
      <c r="Y23" s="30"/>
      <c r="Z23" s="30"/>
      <c r="AA23" s="30"/>
      <c r="AB23" s="30"/>
      <c r="AC23" s="30"/>
      <c r="AD23" s="30"/>
      <c r="AE23" s="30"/>
      <c r="AF23" s="31"/>
    </row>
    <row r="24" spans="1:32" s="17" customFormat="1" ht="13.5" customHeight="1">
      <c r="A24" s="227"/>
      <c r="B24" s="238"/>
      <c r="C24" s="285"/>
      <c r="D24" s="214" t="s">
        <v>136</v>
      </c>
      <c r="E24" s="215"/>
      <c r="F24" s="215"/>
      <c r="G24" s="312"/>
      <c r="H24" s="119" t="s">
        <v>80</v>
      </c>
      <c r="I24" s="82"/>
      <c r="J24" s="30"/>
      <c r="K24" s="69"/>
      <c r="L24" s="30"/>
      <c r="M24" s="30"/>
      <c r="N24" s="30"/>
      <c r="O24" s="30"/>
      <c r="P24" s="30"/>
      <c r="Q24" s="30"/>
      <c r="R24" s="30"/>
      <c r="S24" s="30"/>
      <c r="T24" s="30"/>
      <c r="U24" s="30"/>
      <c r="V24" s="30"/>
      <c r="W24" s="30"/>
      <c r="X24" s="30"/>
      <c r="Y24" s="30"/>
      <c r="Z24" s="30"/>
      <c r="AA24" s="30"/>
      <c r="AB24" s="30"/>
      <c r="AC24" s="30"/>
      <c r="AD24" s="30"/>
      <c r="AE24" s="30"/>
      <c r="AF24" s="31"/>
    </row>
    <row r="25" spans="1:32" s="17" customFormat="1" ht="13.5" customHeight="1">
      <c r="A25" s="227"/>
      <c r="B25" s="238"/>
      <c r="C25" s="234" t="s">
        <v>137</v>
      </c>
      <c r="D25" s="237"/>
      <c r="E25" s="237"/>
      <c r="F25" s="237"/>
      <c r="G25" s="304"/>
      <c r="H25" s="119"/>
      <c r="I25" s="82"/>
      <c r="J25" s="30"/>
      <c r="K25" s="69"/>
      <c r="L25" s="30"/>
      <c r="M25" s="30"/>
      <c r="N25" s="30"/>
      <c r="O25" s="30"/>
      <c r="P25" s="30"/>
      <c r="Q25" s="30"/>
      <c r="R25" s="30"/>
      <c r="S25" s="30"/>
      <c r="T25" s="30"/>
      <c r="U25" s="30"/>
      <c r="V25" s="30"/>
      <c r="W25" s="30"/>
      <c r="X25" s="30"/>
      <c r="Y25" s="30"/>
      <c r="Z25" s="30"/>
      <c r="AA25" s="30"/>
      <c r="AB25" s="30"/>
      <c r="AC25" s="30"/>
      <c r="AD25" s="30"/>
      <c r="AE25" s="30"/>
      <c r="AF25" s="31"/>
    </row>
    <row r="26" spans="1:32" s="17" customFormat="1" ht="13.5" customHeight="1">
      <c r="A26" s="227"/>
      <c r="B26" s="238"/>
      <c r="C26" s="284"/>
      <c r="D26" s="217" t="s">
        <v>138</v>
      </c>
      <c r="E26" s="217"/>
      <c r="F26" s="217"/>
      <c r="G26" s="273"/>
      <c r="H26" s="120" t="s">
        <v>80</v>
      </c>
      <c r="I26" s="117"/>
      <c r="J26" s="30"/>
      <c r="K26" s="69"/>
      <c r="L26" s="30"/>
      <c r="M26" s="30"/>
      <c r="N26" s="30"/>
      <c r="O26" s="30"/>
      <c r="P26" s="30"/>
      <c r="Q26" s="30"/>
      <c r="R26" s="30"/>
      <c r="S26" s="30"/>
      <c r="T26" s="30"/>
      <c r="U26" s="30"/>
      <c r="V26" s="30"/>
      <c r="W26" s="30"/>
      <c r="X26" s="30"/>
      <c r="Y26" s="30"/>
      <c r="Z26" s="30"/>
      <c r="AA26" s="30"/>
      <c r="AB26" s="30"/>
      <c r="AC26" s="30"/>
      <c r="AD26" s="30"/>
      <c r="AE26" s="30"/>
      <c r="AF26" s="31"/>
    </row>
    <row r="27" spans="1:32" s="17" customFormat="1" ht="13.5" customHeight="1" thickBot="1">
      <c r="A27" s="227"/>
      <c r="B27" s="274"/>
      <c r="C27" s="305"/>
      <c r="D27" s="217" t="s">
        <v>110</v>
      </c>
      <c r="E27" s="217"/>
      <c r="F27" s="217"/>
      <c r="G27" s="273"/>
      <c r="H27" s="112"/>
      <c r="I27" s="23"/>
      <c r="J27" s="30"/>
      <c r="K27" s="69"/>
      <c r="L27" s="30"/>
      <c r="M27" s="30"/>
      <c r="N27" s="30"/>
      <c r="O27" s="30"/>
      <c r="P27" s="30"/>
      <c r="Q27" s="30"/>
      <c r="R27" s="30"/>
      <c r="S27" s="30"/>
      <c r="T27" s="30"/>
      <c r="U27" s="30"/>
      <c r="V27" s="30"/>
      <c r="W27" s="30"/>
      <c r="X27" s="30"/>
      <c r="Y27" s="30"/>
      <c r="Z27" s="30"/>
      <c r="AA27" s="30"/>
      <c r="AB27" s="30"/>
      <c r="AC27" s="30"/>
      <c r="AD27" s="30"/>
      <c r="AE27" s="30"/>
      <c r="AF27" s="31"/>
    </row>
    <row r="28" spans="1:32" s="17" customFormat="1" ht="24" customHeight="1">
      <c r="A28" s="218" t="s">
        <v>47</v>
      </c>
      <c r="B28" s="310"/>
      <c r="C28" s="221"/>
      <c r="D28" s="221"/>
      <c r="E28" s="221"/>
      <c r="F28" s="222"/>
      <c r="G28" s="35" t="s">
        <v>36</v>
      </c>
      <c r="H28" s="37" t="s">
        <v>81</v>
      </c>
      <c r="I28" s="37" t="s">
        <v>82</v>
      </c>
      <c r="J28" s="37"/>
      <c r="K28" s="37"/>
      <c r="L28" s="37"/>
      <c r="M28" s="37"/>
      <c r="N28" s="37"/>
      <c r="O28" s="37"/>
      <c r="P28" s="37"/>
      <c r="Q28" s="37"/>
      <c r="R28" s="37"/>
      <c r="S28" s="37"/>
      <c r="T28" s="37"/>
      <c r="U28" s="37"/>
      <c r="V28" s="37"/>
      <c r="W28" s="37"/>
      <c r="X28" s="37"/>
      <c r="Y28" s="37"/>
      <c r="Z28" s="37"/>
      <c r="AA28" s="37"/>
      <c r="AB28" s="37"/>
      <c r="AC28" s="37"/>
      <c r="AD28" s="37"/>
      <c r="AE28" s="37"/>
      <c r="AF28" s="38"/>
    </row>
    <row r="29" spans="1:32" s="17" customFormat="1" ht="27" customHeight="1">
      <c r="A29" s="219"/>
      <c r="B29" s="223"/>
      <c r="C29" s="224"/>
      <c r="D29" s="224"/>
      <c r="E29" s="224"/>
      <c r="F29" s="225"/>
      <c r="G29" s="39" t="s">
        <v>37</v>
      </c>
      <c r="H29" s="40"/>
      <c r="I29" s="74"/>
      <c r="J29" s="74"/>
      <c r="K29" s="74"/>
      <c r="L29" s="74"/>
      <c r="M29" s="74"/>
      <c r="N29" s="74"/>
      <c r="O29" s="74"/>
      <c r="P29" s="74"/>
      <c r="Q29" s="74"/>
      <c r="R29" s="74"/>
      <c r="S29" s="74"/>
      <c r="T29" s="74"/>
      <c r="U29" s="74"/>
      <c r="V29" s="74"/>
      <c r="W29" s="74"/>
      <c r="X29" s="74"/>
      <c r="Y29" s="74"/>
      <c r="Z29" s="74"/>
      <c r="AA29" s="74"/>
      <c r="AB29" s="74"/>
      <c r="AC29" s="74"/>
      <c r="AD29" s="74"/>
      <c r="AE29" s="74"/>
      <c r="AF29" s="42"/>
    </row>
    <row r="30" spans="1:32" s="17" customFormat="1" ht="27" customHeight="1">
      <c r="A30" s="219"/>
      <c r="B30" s="223"/>
      <c r="C30" s="224"/>
      <c r="D30" s="224"/>
      <c r="E30" s="224"/>
      <c r="F30" s="225"/>
      <c r="G30" s="39" t="s">
        <v>38</v>
      </c>
      <c r="H30" s="43"/>
      <c r="I30" s="44"/>
      <c r="J30" s="44"/>
      <c r="K30" s="44"/>
      <c r="L30" s="44"/>
      <c r="M30" s="44"/>
      <c r="N30" s="44"/>
      <c r="O30" s="44"/>
      <c r="P30" s="44"/>
      <c r="Q30" s="44"/>
      <c r="R30" s="44"/>
      <c r="S30" s="44"/>
      <c r="T30" s="44"/>
      <c r="U30" s="44"/>
      <c r="V30" s="44"/>
      <c r="W30" s="44"/>
      <c r="X30" s="44"/>
      <c r="Y30" s="44"/>
      <c r="Z30" s="44"/>
      <c r="AA30" s="44"/>
      <c r="AB30" s="44"/>
      <c r="AC30" s="44"/>
      <c r="AD30" s="44"/>
      <c r="AE30" s="44"/>
      <c r="AF30" s="45"/>
    </row>
    <row r="31" spans="1:32" s="17" customFormat="1" ht="24.75" customHeight="1">
      <c r="A31" s="219"/>
      <c r="B31" s="223" t="s">
        <v>83</v>
      </c>
      <c r="C31" s="224"/>
      <c r="D31" s="224"/>
      <c r="E31" s="224"/>
      <c r="F31" s="225"/>
      <c r="G31" s="46" t="s">
        <v>1</v>
      </c>
      <c r="H31" s="40"/>
      <c r="I31" s="74"/>
      <c r="J31" s="74"/>
      <c r="K31" s="74"/>
      <c r="L31" s="74"/>
      <c r="M31" s="74"/>
      <c r="N31" s="70"/>
      <c r="O31" s="74"/>
      <c r="P31" s="74"/>
      <c r="Q31" s="74"/>
      <c r="R31" s="74"/>
      <c r="S31" s="74"/>
      <c r="T31" s="74"/>
      <c r="U31" s="74"/>
      <c r="V31" s="74"/>
      <c r="W31" s="74"/>
      <c r="X31" s="74"/>
      <c r="Y31" s="74"/>
      <c r="Z31" s="74"/>
      <c r="AA31" s="74"/>
      <c r="AB31" s="74"/>
      <c r="AC31" s="74"/>
      <c r="AD31" s="74"/>
      <c r="AE31" s="74"/>
      <c r="AF31" s="42"/>
    </row>
    <row r="32" spans="1:32" s="17" customFormat="1" ht="24.75" customHeight="1">
      <c r="A32" s="258" t="s">
        <v>48</v>
      </c>
      <c r="B32" s="260" t="s">
        <v>40</v>
      </c>
      <c r="C32" s="260"/>
      <c r="D32" s="260"/>
      <c r="E32" s="260"/>
      <c r="F32" s="261" t="str">
        <f>GetBugSheetName()</f>
        <v>Edit_Logout_</v>
      </c>
      <c r="G32" s="262"/>
      <c r="H32" s="60"/>
      <c r="I32" s="53"/>
      <c r="J32" s="53"/>
      <c r="K32" s="53"/>
      <c r="L32" s="53"/>
      <c r="M32" s="53"/>
      <c r="N32" s="53"/>
      <c r="O32" s="53"/>
      <c r="P32" s="53"/>
      <c r="Q32" s="53"/>
      <c r="R32" s="53"/>
      <c r="S32" s="53"/>
      <c r="T32" s="53"/>
      <c r="U32" s="53"/>
      <c r="V32" s="53"/>
      <c r="W32" s="53"/>
      <c r="X32" s="53"/>
      <c r="Y32" s="53"/>
      <c r="Z32" s="53"/>
      <c r="AA32" s="53"/>
      <c r="AB32" s="53"/>
      <c r="AC32" s="53"/>
      <c r="AD32" s="53"/>
      <c r="AE32" s="53"/>
      <c r="AF32" s="54"/>
    </row>
    <row r="33" spans="1:32" s="17" customFormat="1" ht="36" customHeight="1" thickBot="1">
      <c r="A33" s="259"/>
      <c r="B33" s="246" t="s">
        <v>30</v>
      </c>
      <c r="C33" s="247"/>
      <c r="D33" s="247"/>
      <c r="E33" s="248"/>
      <c r="F33" s="246"/>
      <c r="G33" s="263"/>
      <c r="H33" s="61"/>
      <c r="I33" s="55"/>
      <c r="J33" s="55"/>
      <c r="K33" s="55"/>
      <c r="L33" s="55"/>
      <c r="M33" s="55"/>
      <c r="N33" s="55"/>
      <c r="O33" s="55"/>
      <c r="P33" s="55"/>
      <c r="Q33" s="55"/>
      <c r="R33" s="55"/>
      <c r="S33" s="55" t="str">
        <f t="shared" ref="S33:AF33" si="1">IF(S32="","",(SUM(LEN(S32)-LEN(SUBSTITUTE(S32,",","")))/LEN(",")) + 1 )</f>
        <v/>
      </c>
      <c r="T33" s="55" t="str">
        <f t="shared" si="1"/>
        <v/>
      </c>
      <c r="U33" s="55" t="str">
        <f t="shared" si="1"/>
        <v/>
      </c>
      <c r="V33" s="55" t="str">
        <f t="shared" si="1"/>
        <v/>
      </c>
      <c r="W33" s="55" t="str">
        <f t="shared" si="1"/>
        <v/>
      </c>
      <c r="X33" s="55" t="str">
        <f t="shared" si="1"/>
        <v/>
      </c>
      <c r="Y33" s="55" t="str">
        <f t="shared" si="1"/>
        <v/>
      </c>
      <c r="Z33" s="55" t="str">
        <f t="shared" si="1"/>
        <v/>
      </c>
      <c r="AA33" s="55" t="str">
        <f t="shared" si="1"/>
        <v/>
      </c>
      <c r="AB33" s="55" t="str">
        <f t="shared" si="1"/>
        <v/>
      </c>
      <c r="AC33" s="55" t="str">
        <f t="shared" si="1"/>
        <v/>
      </c>
      <c r="AD33" s="55" t="str">
        <f t="shared" si="1"/>
        <v/>
      </c>
      <c r="AE33" s="55" t="str">
        <f t="shared" si="1"/>
        <v/>
      </c>
      <c r="AF33" s="56" t="str">
        <f t="shared" si="1"/>
        <v/>
      </c>
    </row>
    <row r="34" spans="1:32" s="17" customFormat="1">
      <c r="H34" s="47"/>
      <c r="I34" s="47"/>
      <c r="J34" s="47"/>
      <c r="K34" s="47"/>
      <c r="L34" s="47"/>
      <c r="M34" s="47"/>
      <c r="N34" s="48"/>
      <c r="O34" s="49"/>
      <c r="P34" s="47"/>
      <c r="Q34" s="47"/>
      <c r="R34" s="47"/>
      <c r="S34" s="47"/>
      <c r="T34" s="47"/>
      <c r="U34" s="47"/>
      <c r="V34" s="47"/>
    </row>
  </sheetData>
  <sheetProtection insertRows="0"/>
  <protectedRanges>
    <protectedRange sqref="I4:AF4 H8:AF27 J5:AF7" name="Range2_1_1"/>
    <protectedRange sqref="C26:G27" name="Range2_1_12"/>
    <protectedRange sqref="C12:G24" name="Range2_1_30"/>
    <protectedRange sqref="H27:I27 I9:I10 H9 H7:I8" name="Range2_1_1_1"/>
    <protectedRange sqref="I26" name="Range2_1_6_1"/>
    <protectedRange sqref="H5:I6" name="Range2_1_6_1_1"/>
    <protectedRange sqref="H28:I28" name="Range3_1_1_1"/>
    <protectedRange sqref="B1:O1 P2 T1 B2:E2" name="Range1_1_1"/>
    <protectedRange sqref="P2 AC2:AF2" name="Range1_1_1_1"/>
    <protectedRange sqref="AC1:AF1" name="Range1_1_1_2"/>
  </protectedRanges>
  <mergeCells count="52">
    <mergeCell ref="I2:O2"/>
    <mergeCell ref="P2:Z2"/>
    <mergeCell ref="AA2:AB2"/>
    <mergeCell ref="AC2:AF2"/>
    <mergeCell ref="B1:E1"/>
    <mergeCell ref="F1:O1"/>
    <mergeCell ref="P1:S1"/>
    <mergeCell ref="T1:Z1"/>
    <mergeCell ref="AA1:AB1"/>
    <mergeCell ref="AC1:AF1"/>
    <mergeCell ref="B9:G9"/>
    <mergeCell ref="C10:G10"/>
    <mergeCell ref="A4:A8"/>
    <mergeCell ref="B2:E2"/>
    <mergeCell ref="F2:H2"/>
    <mergeCell ref="B10:B27"/>
    <mergeCell ref="C6:G6"/>
    <mergeCell ref="B5:G5"/>
    <mergeCell ref="C7:G7"/>
    <mergeCell ref="D24:G24"/>
    <mergeCell ref="C25:G25"/>
    <mergeCell ref="C26:C27"/>
    <mergeCell ref="D26:G26"/>
    <mergeCell ref="D27:G27"/>
    <mergeCell ref="D13:G13"/>
    <mergeCell ref="D14:G14"/>
    <mergeCell ref="A32:A33"/>
    <mergeCell ref="B32:E32"/>
    <mergeCell ref="F32:G32"/>
    <mergeCell ref="B33:E33"/>
    <mergeCell ref="F33:G33"/>
    <mergeCell ref="D23:G23"/>
    <mergeCell ref="B6:B8"/>
    <mergeCell ref="B4:G4"/>
    <mergeCell ref="A28:A31"/>
    <mergeCell ref="B28:F28"/>
    <mergeCell ref="B29:F29"/>
    <mergeCell ref="B30:F30"/>
    <mergeCell ref="B31:F31"/>
    <mergeCell ref="C12:G12"/>
    <mergeCell ref="C13:C24"/>
    <mergeCell ref="D15:G15"/>
    <mergeCell ref="D16:G16"/>
    <mergeCell ref="D17:G17"/>
    <mergeCell ref="D11:G11"/>
    <mergeCell ref="C8:G8"/>
    <mergeCell ref="A9:A27"/>
    <mergeCell ref="D18:G18"/>
    <mergeCell ref="D19:G19"/>
    <mergeCell ref="D20:G20"/>
    <mergeCell ref="D21:G21"/>
    <mergeCell ref="D22:G22"/>
  </mergeCells>
  <conditionalFormatting sqref="H3:AF33">
    <cfRule type="expression" dxfId="93" priority="7" stopIfTrue="1">
      <formula>H$31="NA"</formula>
    </cfRule>
    <cfRule type="expression" dxfId="92" priority="8" stopIfTrue="1">
      <formula>H$31="NG"</formula>
    </cfRule>
  </conditionalFormatting>
  <dataValidations count="10">
    <dataValidation allowBlank="1" showInputMessage="1" showErrorMessage="1" promptTitle="Condition Type" prompt="N : Normal _x000a_A : Abnormal _x000a_B : Boundary" sqref="G28"/>
    <dataValidation allowBlank="1" showInputMessage="1" showErrorMessage="1" promptTitle="Enter" prompt="Name of the person who performed the test" sqref="G29"/>
    <dataValidation allowBlank="1" showInputMessage="1" showErrorMessage="1" promptTitle="Testing Date" prompt="Date on which test was performed in yyyy/mm/dd format" sqref="G30"/>
    <dataValidation allowBlank="1" showInputMessage="1" showErrorMessage="1" promptTitle="Test Result" prompt="OK : Result is OK      _x000a_NG : Result is not as expected_x000a_NA : Not Applicable      _x000a_PT : Testing Pending (as Data not available/ cannot be generated currently)" sqref="G31"/>
    <dataValidation allowBlank="1" showInputMessage="1" showErrorMessage="1" promptTitle="Bug ID" prompt="Unique ID throughout the project._x000a_For every Bug found during Test as well as Re-Test, a new Bug ID needs to be entered here (as a comma seperated value)" sqref="B32:E32"/>
    <dataValidation allowBlank="1" showInputMessage="1" showErrorMessage="1" promptTitle="PCL sheet name" prompt=" " sqref="F32:G32"/>
    <dataValidation type="list" allowBlank="1" showInputMessage="1" showErrorMessage="1" sqref="H31:AF31">
      <formula1>"OK, NG, NA, PT"</formula1>
    </dataValidation>
    <dataValidation type="list" allowBlank="1" showInputMessage="1" showErrorMessage="1" sqref="H28:AF28">
      <formula1>"N, A, B"</formula1>
    </dataValidation>
    <dataValidation allowBlank="1" showInputMessage="1" showErrorMessage="1" promptTitle="Check points" prompt="that need / need not be executed" sqref="A9:A27"/>
    <dataValidation allowBlank="1" showInputMessage="1" showErrorMessage="1" promptTitle="Input conditions" prompt="that need to be checked." sqref="A4:A8"/>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8.xml><?xml version="1.0" encoding="utf-8"?>
<worksheet xmlns="http://schemas.openxmlformats.org/spreadsheetml/2006/main" xmlns:r="http://schemas.openxmlformats.org/officeDocument/2006/relationships">
  <sheetPr codeName="Sheet8"/>
  <dimension ref="A1:AF17"/>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S26" sqref="S26"/>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143</v>
      </c>
      <c r="J2" s="247"/>
      <c r="K2" s="247"/>
      <c r="L2" s="247"/>
      <c r="M2" s="247"/>
      <c r="N2" s="247"/>
      <c r="O2" s="248"/>
      <c r="P2" s="243"/>
      <c r="Q2" s="244"/>
      <c r="R2" s="244"/>
      <c r="S2" s="244"/>
      <c r="T2" s="244"/>
      <c r="U2" s="244"/>
      <c r="V2" s="244"/>
      <c r="W2" s="244"/>
      <c r="X2" s="244"/>
      <c r="Y2" s="244"/>
      <c r="Z2" s="245"/>
      <c r="AA2" s="255" t="s">
        <v>289</v>
      </c>
      <c r="AB2" s="256"/>
      <c r="AC2" s="243" t="s">
        <v>295</v>
      </c>
      <c r="AD2" s="244"/>
      <c r="AE2" s="244"/>
      <c r="AF2" s="257"/>
    </row>
    <row r="3" spans="1:32" ht="37.5" customHeight="1" thickBot="1">
      <c r="A3" s="66" t="s">
        <v>43</v>
      </c>
      <c r="B3" s="10"/>
      <c r="C3" s="10"/>
      <c r="D3" s="10"/>
      <c r="E3" s="10"/>
      <c r="F3" s="10"/>
      <c r="G3" s="65" t="s">
        <v>44</v>
      </c>
      <c r="H3" s="11">
        <f>IF(COUNTA(H4:H11)&gt;0,1,"")</f>
        <v>1</v>
      </c>
      <c r="I3" s="12">
        <f>IF(COUNTA(I4:I11)&gt;0,IF(H3&gt;0,H3+1,""),"")</f>
        <v>2</v>
      </c>
      <c r="J3" s="12"/>
      <c r="K3" s="12" t="str">
        <f t="shared" ref="K3:AF3" si="0">IF(COUNTA(K4:K11)&gt;0,IF(J3&gt;0,J3+1,""),"")</f>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313" t="s">
        <v>292</v>
      </c>
      <c r="C4" s="313"/>
      <c r="D4" s="313"/>
      <c r="E4" s="313"/>
      <c r="F4" s="313"/>
      <c r="G4" s="314"/>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143</v>
      </c>
      <c r="C5" s="315"/>
      <c r="D5" s="315"/>
      <c r="E5" s="315"/>
      <c r="F5" s="315"/>
      <c r="G5" s="316"/>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233"/>
      <c r="B6" s="100"/>
      <c r="C6" s="320" t="s">
        <v>144</v>
      </c>
      <c r="D6" s="320"/>
      <c r="E6" s="320"/>
      <c r="F6" s="320"/>
      <c r="G6" s="336"/>
      <c r="H6" s="18" t="s">
        <v>80</v>
      </c>
      <c r="I6" s="19"/>
      <c r="J6" s="123"/>
      <c r="K6" s="19"/>
      <c r="L6" s="23"/>
      <c r="M6" s="23"/>
      <c r="N6" s="23"/>
      <c r="O6" s="23"/>
      <c r="P6" s="23"/>
      <c r="Q6" s="23"/>
      <c r="R6" s="23"/>
      <c r="S6" s="23"/>
      <c r="T6" s="23"/>
      <c r="U6" s="23"/>
      <c r="V6" s="23"/>
      <c r="W6" s="23"/>
      <c r="X6" s="23"/>
      <c r="Y6" s="23"/>
      <c r="Z6" s="23"/>
      <c r="AA6" s="23"/>
      <c r="AB6" s="23"/>
      <c r="AC6" s="23"/>
      <c r="AD6" s="23"/>
      <c r="AE6" s="23"/>
      <c r="AF6" s="24"/>
    </row>
    <row r="7" spans="1:32" s="17" customFormat="1" ht="13.5" customHeight="1" thickBot="1">
      <c r="A7" s="233"/>
      <c r="B7" s="333" t="s">
        <v>65</v>
      </c>
      <c r="C7" s="334"/>
      <c r="D7" s="334"/>
      <c r="E7" s="334"/>
      <c r="F7" s="334"/>
      <c r="G7" s="335"/>
      <c r="H7" s="22"/>
      <c r="I7" s="23" t="s">
        <v>80</v>
      </c>
      <c r="J7" s="88"/>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226" t="s">
        <v>46</v>
      </c>
      <c r="B8" s="229" t="s">
        <v>25</v>
      </c>
      <c r="C8" s="230"/>
      <c r="D8" s="230"/>
      <c r="E8" s="230"/>
      <c r="F8" s="230"/>
      <c r="G8" s="230"/>
      <c r="H8" s="25"/>
      <c r="I8" s="26"/>
      <c r="J8" s="139"/>
      <c r="K8" s="26"/>
      <c r="L8" s="26"/>
      <c r="M8" s="26"/>
      <c r="N8" s="26"/>
      <c r="O8" s="26"/>
      <c r="P8" s="26"/>
      <c r="Q8" s="26"/>
      <c r="R8" s="26"/>
      <c r="S8" s="26"/>
      <c r="T8" s="26"/>
      <c r="U8" s="26"/>
      <c r="V8" s="26"/>
      <c r="W8" s="26"/>
      <c r="X8" s="26"/>
      <c r="Y8" s="26"/>
      <c r="Z8" s="26"/>
      <c r="AA8" s="26"/>
      <c r="AB8" s="26"/>
      <c r="AC8" s="26"/>
      <c r="AD8" s="26"/>
      <c r="AE8" s="26"/>
      <c r="AF8" s="27"/>
    </row>
    <row r="9" spans="1:32" s="17" customFormat="1" ht="13.5" customHeight="1">
      <c r="A9" s="227"/>
      <c r="B9" s="277"/>
      <c r="C9" s="216" t="s">
        <v>145</v>
      </c>
      <c r="D9" s="217"/>
      <c r="E9" s="217"/>
      <c r="F9" s="217"/>
      <c r="G9" s="273"/>
      <c r="H9" s="86" t="s">
        <v>80</v>
      </c>
      <c r="I9" s="87"/>
      <c r="J9" s="110"/>
      <c r="K9" s="87"/>
      <c r="L9" s="23"/>
      <c r="M9" s="23"/>
      <c r="N9" s="23"/>
      <c r="O9" s="23"/>
      <c r="P9" s="23"/>
      <c r="Q9" s="23"/>
      <c r="R9" s="23"/>
      <c r="S9" s="23"/>
      <c r="T9" s="23"/>
      <c r="U9" s="23"/>
      <c r="V9" s="23"/>
      <c r="W9" s="23"/>
      <c r="X9" s="23"/>
      <c r="Y9" s="23"/>
      <c r="Z9" s="23"/>
      <c r="AA9" s="23"/>
      <c r="AB9" s="23"/>
      <c r="AC9" s="23"/>
      <c r="AD9" s="23"/>
      <c r="AE9" s="23"/>
      <c r="AF9" s="24"/>
    </row>
    <row r="10" spans="1:32" s="17" customFormat="1" ht="13.5" customHeight="1" thickBot="1">
      <c r="A10" s="227"/>
      <c r="B10" s="274"/>
      <c r="C10" s="216" t="s">
        <v>146</v>
      </c>
      <c r="D10" s="217"/>
      <c r="E10" s="217"/>
      <c r="F10" s="217"/>
      <c r="G10" s="273"/>
      <c r="H10" s="22"/>
      <c r="I10" s="23" t="s">
        <v>80</v>
      </c>
      <c r="J10" s="88"/>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24" customHeight="1">
      <c r="A11" s="218" t="s">
        <v>47</v>
      </c>
      <c r="B11" s="220"/>
      <c r="C11" s="221"/>
      <c r="D11" s="221"/>
      <c r="E11" s="221"/>
      <c r="F11" s="222"/>
      <c r="G11" s="35" t="s">
        <v>36</v>
      </c>
      <c r="H11" s="36" t="s">
        <v>81</v>
      </c>
      <c r="I11" s="37" t="s">
        <v>82</v>
      </c>
      <c r="J11" s="140"/>
      <c r="K11" s="37"/>
      <c r="L11" s="37"/>
      <c r="M11" s="37"/>
      <c r="N11" s="37"/>
      <c r="O11" s="37"/>
      <c r="P11" s="37"/>
      <c r="Q11" s="37"/>
      <c r="R11" s="37"/>
      <c r="S11" s="37"/>
      <c r="T11" s="37"/>
      <c r="U11" s="37"/>
      <c r="V11" s="37"/>
      <c r="W11" s="37"/>
      <c r="X11" s="37"/>
      <c r="Y11" s="37"/>
      <c r="Z11" s="37"/>
      <c r="AA11" s="37"/>
      <c r="AB11" s="37"/>
      <c r="AC11" s="37"/>
      <c r="AD11" s="37"/>
      <c r="AE11" s="37"/>
      <c r="AF11" s="38"/>
    </row>
    <row r="12" spans="1:32" s="17" customFormat="1" ht="27" customHeight="1">
      <c r="A12" s="219"/>
      <c r="B12" s="223"/>
      <c r="C12" s="224"/>
      <c r="D12" s="224"/>
      <c r="E12" s="224"/>
      <c r="F12" s="225"/>
      <c r="G12" s="39" t="s">
        <v>37</v>
      </c>
      <c r="H12" s="40"/>
      <c r="I12" s="74"/>
      <c r="J12" s="74"/>
      <c r="K12" s="74"/>
      <c r="L12" s="74"/>
      <c r="M12" s="74"/>
      <c r="N12" s="74"/>
      <c r="O12" s="74"/>
      <c r="P12" s="74"/>
      <c r="Q12" s="74"/>
      <c r="R12" s="74"/>
      <c r="S12" s="74"/>
      <c r="T12" s="74"/>
      <c r="U12" s="74"/>
      <c r="V12" s="74"/>
      <c r="W12" s="74"/>
      <c r="X12" s="74"/>
      <c r="Y12" s="74"/>
      <c r="Z12" s="74"/>
      <c r="AA12" s="74"/>
      <c r="AB12" s="74"/>
      <c r="AC12" s="74"/>
      <c r="AD12" s="74"/>
      <c r="AE12" s="74"/>
      <c r="AF12" s="42"/>
    </row>
    <row r="13" spans="1:32" s="17" customFormat="1" ht="27" customHeight="1">
      <c r="A13" s="219"/>
      <c r="B13" s="223"/>
      <c r="C13" s="224"/>
      <c r="D13" s="224"/>
      <c r="E13" s="224"/>
      <c r="F13" s="225"/>
      <c r="G13" s="39" t="s">
        <v>38</v>
      </c>
      <c r="H13" s="43"/>
      <c r="I13" s="44"/>
      <c r="J13" s="44"/>
      <c r="K13" s="44"/>
      <c r="L13" s="44"/>
      <c r="M13" s="44"/>
      <c r="N13" s="44"/>
      <c r="O13" s="44"/>
      <c r="P13" s="44"/>
      <c r="Q13" s="44"/>
      <c r="R13" s="44"/>
      <c r="S13" s="44"/>
      <c r="T13" s="44"/>
      <c r="U13" s="44"/>
      <c r="V13" s="44"/>
      <c r="W13" s="44"/>
      <c r="X13" s="44"/>
      <c r="Y13" s="44"/>
      <c r="Z13" s="44"/>
      <c r="AA13" s="44"/>
      <c r="AB13" s="44"/>
      <c r="AC13" s="44"/>
      <c r="AD13" s="44"/>
      <c r="AE13" s="44"/>
      <c r="AF13" s="45"/>
    </row>
    <row r="14" spans="1:32" s="17" customFormat="1" ht="24.75" customHeight="1">
      <c r="A14" s="219"/>
      <c r="B14" s="223" t="s">
        <v>83</v>
      </c>
      <c r="C14" s="224"/>
      <c r="D14" s="224"/>
      <c r="E14" s="224"/>
      <c r="F14" s="225"/>
      <c r="G14" s="46" t="s">
        <v>1</v>
      </c>
      <c r="H14" s="40"/>
      <c r="I14" s="74"/>
      <c r="J14" s="74"/>
      <c r="K14" s="74"/>
      <c r="L14" s="74"/>
      <c r="M14" s="74"/>
      <c r="N14" s="70"/>
      <c r="O14" s="74"/>
      <c r="P14" s="74"/>
      <c r="Q14" s="74"/>
      <c r="R14" s="74"/>
      <c r="S14" s="74"/>
      <c r="T14" s="74"/>
      <c r="U14" s="74"/>
      <c r="V14" s="74"/>
      <c r="W14" s="74"/>
      <c r="X14" s="74"/>
      <c r="Y14" s="74"/>
      <c r="Z14" s="74"/>
      <c r="AA14" s="74"/>
      <c r="AB14" s="74"/>
      <c r="AC14" s="74"/>
      <c r="AD14" s="74"/>
      <c r="AE14" s="74"/>
      <c r="AF14" s="42"/>
    </row>
    <row r="15" spans="1:32" s="17" customFormat="1" ht="24.75" customHeight="1">
      <c r="A15" s="258" t="s">
        <v>48</v>
      </c>
      <c r="B15" s="260" t="s">
        <v>40</v>
      </c>
      <c r="C15" s="260"/>
      <c r="D15" s="260"/>
      <c r="E15" s="260"/>
      <c r="F15" s="261" t="str">
        <f>GetBugSheetName()</f>
        <v>Edit_Logout_</v>
      </c>
      <c r="G15" s="262"/>
      <c r="H15" s="60"/>
      <c r="I15" s="53"/>
      <c r="J15" s="53"/>
      <c r="K15" s="53"/>
      <c r="L15" s="53"/>
      <c r="M15" s="53"/>
      <c r="N15" s="53"/>
      <c r="O15" s="53"/>
      <c r="P15" s="53"/>
      <c r="Q15" s="53"/>
      <c r="R15" s="53"/>
      <c r="S15" s="53"/>
      <c r="T15" s="53"/>
      <c r="U15" s="53"/>
      <c r="V15" s="53"/>
      <c r="W15" s="53"/>
      <c r="X15" s="53"/>
      <c r="Y15" s="53"/>
      <c r="Z15" s="53"/>
      <c r="AA15" s="53"/>
      <c r="AB15" s="53"/>
      <c r="AC15" s="53"/>
      <c r="AD15" s="53"/>
      <c r="AE15" s="53"/>
      <c r="AF15" s="54"/>
    </row>
    <row r="16" spans="1:32" s="17" customFormat="1" ht="36" customHeight="1" thickBot="1">
      <c r="A16" s="259"/>
      <c r="B16" s="246" t="s">
        <v>30</v>
      </c>
      <c r="C16" s="247"/>
      <c r="D16" s="247"/>
      <c r="E16" s="248"/>
      <c r="F16" s="246"/>
      <c r="G16" s="263"/>
      <c r="H16" s="61"/>
      <c r="I16" s="55"/>
      <c r="J16" s="55"/>
      <c r="K16" s="55"/>
      <c r="L16" s="55"/>
      <c r="M16" s="55"/>
      <c r="N16" s="55"/>
      <c r="O16" s="55"/>
      <c r="P16" s="55"/>
      <c r="Q16" s="55"/>
      <c r="R16" s="55"/>
      <c r="S16" s="55" t="str">
        <f t="shared" ref="S16:AF16" si="1">IF(S15="","",(SUM(LEN(S15)-LEN(SUBSTITUTE(S15,",","")))/LEN(",")) + 1 )</f>
        <v/>
      </c>
      <c r="T16" s="55" t="str">
        <f t="shared" si="1"/>
        <v/>
      </c>
      <c r="U16" s="55" t="str">
        <f t="shared" si="1"/>
        <v/>
      </c>
      <c r="V16" s="55" t="str">
        <f t="shared" si="1"/>
        <v/>
      </c>
      <c r="W16" s="55" t="str">
        <f t="shared" si="1"/>
        <v/>
      </c>
      <c r="X16" s="55" t="str">
        <f t="shared" si="1"/>
        <v/>
      </c>
      <c r="Y16" s="55" t="str">
        <f t="shared" si="1"/>
        <v/>
      </c>
      <c r="Z16" s="55" t="str">
        <f t="shared" si="1"/>
        <v/>
      </c>
      <c r="AA16" s="55" t="str">
        <f t="shared" si="1"/>
        <v/>
      </c>
      <c r="AB16" s="55" t="str">
        <f t="shared" si="1"/>
        <v/>
      </c>
      <c r="AC16" s="55" t="str">
        <f t="shared" si="1"/>
        <v/>
      </c>
      <c r="AD16" s="55" t="str">
        <f t="shared" si="1"/>
        <v/>
      </c>
      <c r="AE16" s="55" t="str">
        <f t="shared" si="1"/>
        <v/>
      </c>
      <c r="AF16" s="56" t="str">
        <f t="shared" si="1"/>
        <v/>
      </c>
    </row>
    <row r="17" spans="8:22" s="17" customFormat="1">
      <c r="H17" s="47"/>
      <c r="I17" s="47"/>
      <c r="J17" s="47"/>
      <c r="K17" s="47"/>
      <c r="L17" s="47"/>
      <c r="M17" s="47"/>
      <c r="N17" s="48"/>
      <c r="O17" s="49"/>
      <c r="P17" s="47"/>
      <c r="Q17" s="47"/>
      <c r="R17" s="47"/>
      <c r="S17" s="47"/>
      <c r="T17" s="47"/>
      <c r="U17" s="47"/>
      <c r="V17" s="47"/>
    </row>
  </sheetData>
  <sheetProtection insertRows="0"/>
  <protectedRanges>
    <protectedRange sqref="B8:G8 B9:B10" name="Range2_1"/>
    <protectedRange sqref="H12:AF15 L11:AF11" name="Range3_1_1"/>
    <protectedRange sqref="H4:AF5 L6:AF10" name="Range2_1_1"/>
    <protectedRange sqref="B7 D5:G7 B5:C6" name="Range2_1_2"/>
    <protectedRange sqref="B4:G4" name="Range2_1_2_1"/>
    <protectedRange sqref="C9:G10" name="Range2_1_3"/>
    <protectedRange sqref="B1:O1 P2 T1 B2:E2" name="Range1_1_1_3"/>
    <protectedRange sqref="P2 AC2:AF2" name="Range1_1_1_1_1"/>
    <protectedRange sqref="AC1:AF1" name="Range1_1_1_2_1"/>
  </protectedRanges>
  <mergeCells count="32">
    <mergeCell ref="AC2:AF2"/>
    <mergeCell ref="B1:E1"/>
    <mergeCell ref="F1:O1"/>
    <mergeCell ref="P1:S1"/>
    <mergeCell ref="T1:Z1"/>
    <mergeCell ref="AA1:AB1"/>
    <mergeCell ref="AC1:AF1"/>
    <mergeCell ref="B2:E2"/>
    <mergeCell ref="F2:H2"/>
    <mergeCell ref="I2:O2"/>
    <mergeCell ref="P2:Z2"/>
    <mergeCell ref="AA2:AB2"/>
    <mergeCell ref="A15:A16"/>
    <mergeCell ref="B15:E15"/>
    <mergeCell ref="F15:G15"/>
    <mergeCell ref="B16:E16"/>
    <mergeCell ref="F16:G16"/>
    <mergeCell ref="B7:G7"/>
    <mergeCell ref="B9:B10"/>
    <mergeCell ref="A11:A14"/>
    <mergeCell ref="B11:F11"/>
    <mergeCell ref="B12:F12"/>
    <mergeCell ref="B13:F13"/>
    <mergeCell ref="B14:F14"/>
    <mergeCell ref="A8:A10"/>
    <mergeCell ref="B8:G8"/>
    <mergeCell ref="C9:G9"/>
    <mergeCell ref="C10:G10"/>
    <mergeCell ref="A4:A7"/>
    <mergeCell ref="B4:G4"/>
    <mergeCell ref="B5:G5"/>
    <mergeCell ref="C6:G6"/>
  </mergeCells>
  <conditionalFormatting sqref="H3:AF16">
    <cfRule type="expression" dxfId="91" priority="5" stopIfTrue="1">
      <formula>H$14="NA"</formula>
    </cfRule>
    <cfRule type="expression" dxfId="90" priority="6" stopIfTrue="1">
      <formula>H$14="NG"</formula>
    </cfRule>
  </conditionalFormatting>
  <dataValidations count="10">
    <dataValidation allowBlank="1" showInputMessage="1" showErrorMessage="1" promptTitle="Condition Type" prompt="N : Normal _x000a_A : Abnormal _x000a_B : Boundary" sqref="G11"/>
    <dataValidation allowBlank="1" showInputMessage="1" showErrorMessage="1" promptTitle="Enter" prompt="Name of the person who performed the test" sqref="G12"/>
    <dataValidation allowBlank="1" showInputMessage="1" showErrorMessage="1" promptTitle="Testing Date" prompt="Date on which test was performed in yyyy/mm/dd format" sqref="G13"/>
    <dataValidation allowBlank="1" showInputMessage="1" showErrorMessage="1" promptTitle="Test Result" prompt="OK : Result is OK      _x000a_NG : Result is not as expected_x000a_NA : Not Applicable      _x000a_PT : Testing Pending (as Data not available/ cannot be generated currently)" sqref="G14"/>
    <dataValidation allowBlank="1" showInputMessage="1" showErrorMessage="1" promptTitle="Bug ID" prompt="Unique ID throughout the project._x000a_For every Bug found during Test as well as Re-Test, a new Bug ID needs to be entered here (as a comma seperated value)" sqref="B15:E15"/>
    <dataValidation allowBlank="1" showInputMessage="1" showErrorMessage="1" promptTitle="PCL sheet name" prompt=" " sqref="F15:G15"/>
    <dataValidation type="list" allowBlank="1" showInputMessage="1" showErrorMessage="1" sqref="H14:AF14">
      <formula1>"OK, NG, NA, PT"</formula1>
    </dataValidation>
    <dataValidation type="list" allowBlank="1" showInputMessage="1" showErrorMessage="1" sqref="H11:AF11">
      <formula1>"N, A, B"</formula1>
    </dataValidation>
    <dataValidation allowBlank="1" showInputMessage="1" showErrorMessage="1" promptTitle="Check points" prompt="that need / need not be executed" sqref="A8:A10"/>
    <dataValidation allowBlank="1" showInputMessage="1" showErrorMessage="1" promptTitle="Input conditions" prompt="that need to be checked." sqref="A4:A7"/>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9.xml><?xml version="1.0" encoding="utf-8"?>
<worksheet xmlns="http://schemas.openxmlformats.org/spreadsheetml/2006/main" xmlns:r="http://schemas.openxmlformats.org/officeDocument/2006/relationships">
  <sheetPr codeName="Sheet12"/>
  <dimension ref="A1:EM36"/>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H23" sqref="H23"/>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143" ht="20.100000000000001" customHeight="1">
      <c r="A1" s="63" t="s">
        <v>218</v>
      </c>
      <c r="B1" s="240" t="s">
        <v>310</v>
      </c>
      <c r="C1" s="241"/>
      <c r="D1" s="241"/>
      <c r="E1" s="242"/>
      <c r="F1" s="240" t="s">
        <v>309</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40928</v>
      </c>
      <c r="AD1" s="253"/>
      <c r="AE1" s="253"/>
      <c r="AF1" s="254"/>
    </row>
    <row r="2" spans="1:143" ht="20.100000000000001" customHeight="1" thickBot="1">
      <c r="A2" s="64" t="s">
        <v>212</v>
      </c>
      <c r="B2" s="243" t="s">
        <v>308</v>
      </c>
      <c r="C2" s="244"/>
      <c r="D2" s="244"/>
      <c r="E2" s="245"/>
      <c r="F2" s="243" t="s">
        <v>307</v>
      </c>
      <c r="G2" s="244"/>
      <c r="H2" s="245"/>
      <c r="I2" s="246"/>
      <c r="J2" s="247"/>
      <c r="K2" s="247"/>
      <c r="L2" s="247"/>
      <c r="M2" s="247"/>
      <c r="N2" s="247"/>
      <c r="O2" s="248"/>
      <c r="P2" s="243"/>
      <c r="Q2" s="244"/>
      <c r="R2" s="244"/>
      <c r="S2" s="244"/>
      <c r="T2" s="244"/>
      <c r="U2" s="244"/>
      <c r="V2" s="244"/>
      <c r="W2" s="244"/>
      <c r="X2" s="244"/>
      <c r="Y2" s="244"/>
      <c r="Z2" s="245"/>
      <c r="AA2" s="255" t="s">
        <v>210</v>
      </c>
      <c r="AB2" s="256"/>
      <c r="AC2" s="243" t="s">
        <v>306</v>
      </c>
      <c r="AD2" s="244"/>
      <c r="AE2" s="244"/>
      <c r="AF2" s="257"/>
    </row>
    <row r="3" spans="1:143" ht="37.5" customHeight="1" thickBot="1">
      <c r="A3" s="66" t="s">
        <v>209</v>
      </c>
      <c r="B3" s="10"/>
      <c r="C3" s="10"/>
      <c r="D3" s="10"/>
      <c r="E3" s="10"/>
      <c r="F3" s="10"/>
      <c r="G3" s="65" t="s">
        <v>208</v>
      </c>
      <c r="H3" s="154">
        <v>1</v>
      </c>
      <c r="I3" s="153">
        <f t="shared" ref="I3:AF3" si="0">IF(COUNTA(I4:I30)&gt;0,IF(H3&gt;0,H3+1,""),"")</f>
        <v>2</v>
      </c>
      <c r="J3" s="153">
        <f t="shared" si="0"/>
        <v>3</v>
      </c>
      <c r="K3" s="153">
        <f t="shared" si="0"/>
        <v>4</v>
      </c>
      <c r="L3" s="153">
        <f t="shared" si="0"/>
        <v>5</v>
      </c>
      <c r="M3" s="153">
        <f t="shared" si="0"/>
        <v>6</v>
      </c>
      <c r="N3" s="153">
        <f t="shared" si="0"/>
        <v>7</v>
      </c>
      <c r="O3" s="153" t="str">
        <f t="shared" si="0"/>
        <v/>
      </c>
      <c r="P3" s="153" t="str">
        <f t="shared" si="0"/>
        <v/>
      </c>
      <c r="Q3" s="153" t="str">
        <f t="shared" si="0"/>
        <v/>
      </c>
      <c r="R3" s="153" t="str">
        <f t="shared" si="0"/>
        <v/>
      </c>
      <c r="S3" s="153" t="str">
        <f t="shared" si="0"/>
        <v/>
      </c>
      <c r="T3" s="153" t="str">
        <f t="shared" si="0"/>
        <v/>
      </c>
      <c r="U3" s="153" t="str">
        <f t="shared" si="0"/>
        <v/>
      </c>
      <c r="V3" s="153" t="str">
        <f t="shared" si="0"/>
        <v/>
      </c>
      <c r="W3" s="153" t="str">
        <f t="shared" si="0"/>
        <v/>
      </c>
      <c r="X3" s="153" t="str">
        <f t="shared" si="0"/>
        <v/>
      </c>
      <c r="Y3" s="153" t="str">
        <f t="shared" si="0"/>
        <v/>
      </c>
      <c r="Z3" s="153" t="str">
        <f t="shared" si="0"/>
        <v/>
      </c>
      <c r="AA3" s="153" t="str">
        <f t="shared" si="0"/>
        <v/>
      </c>
      <c r="AB3" s="153" t="str">
        <f t="shared" si="0"/>
        <v/>
      </c>
      <c r="AC3" s="153" t="str">
        <f t="shared" si="0"/>
        <v/>
      </c>
      <c r="AD3" s="153" t="str">
        <f t="shared" si="0"/>
        <v/>
      </c>
      <c r="AE3" s="153" t="str">
        <f t="shared" si="0"/>
        <v/>
      </c>
      <c r="AF3" s="152" t="str">
        <f t="shared" si="0"/>
        <v/>
      </c>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row>
    <row r="4" spans="1:143" s="17" customFormat="1" ht="13.5" customHeight="1">
      <c r="A4" s="232" t="s">
        <v>207</v>
      </c>
      <c r="B4" s="230" t="s">
        <v>305</v>
      </c>
      <c r="C4" s="230"/>
      <c r="D4" s="230"/>
      <c r="E4" s="230"/>
      <c r="F4" s="230"/>
      <c r="G4" s="287"/>
      <c r="H4" s="14"/>
      <c r="I4" s="15"/>
      <c r="J4" s="15"/>
      <c r="K4" s="15"/>
      <c r="L4" s="15"/>
      <c r="M4" s="15"/>
      <c r="N4" s="15"/>
      <c r="O4" s="15"/>
      <c r="P4" s="15"/>
      <c r="Q4" s="15"/>
      <c r="R4" s="15"/>
      <c r="S4" s="15"/>
      <c r="T4" s="15"/>
      <c r="U4" s="15"/>
      <c r="V4" s="15"/>
      <c r="W4" s="15"/>
      <c r="X4" s="15"/>
      <c r="Y4" s="15"/>
      <c r="Z4" s="15"/>
      <c r="AA4" s="15"/>
      <c r="AB4" s="15"/>
      <c r="AC4" s="15"/>
      <c r="AD4" s="15"/>
      <c r="AE4" s="15"/>
      <c r="AF4" s="16"/>
      <c r="AG4" s="151"/>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50"/>
      <c r="DA4" s="50"/>
      <c r="DB4" s="50"/>
      <c r="DC4" s="50"/>
      <c r="DD4" s="50"/>
      <c r="DE4" s="50"/>
      <c r="DF4" s="50"/>
      <c r="DG4" s="50"/>
      <c r="DH4" s="50"/>
      <c r="DI4" s="50"/>
      <c r="DJ4" s="50"/>
      <c r="DK4" s="50"/>
      <c r="DL4" s="50"/>
      <c r="DM4" s="50"/>
      <c r="DN4" s="50"/>
      <c r="DO4" s="50"/>
      <c r="DP4" s="50"/>
      <c r="DQ4" s="50"/>
      <c r="DR4" s="50"/>
      <c r="DS4" s="50"/>
      <c r="DT4" s="50"/>
      <c r="DU4" s="50"/>
      <c r="DV4" s="50"/>
      <c r="DW4" s="50"/>
      <c r="DX4" s="50"/>
      <c r="DY4" s="50"/>
      <c r="DZ4" s="50"/>
      <c r="EA4" s="50"/>
      <c r="EB4" s="50"/>
      <c r="EC4" s="50"/>
      <c r="ED4" s="50"/>
      <c r="EE4" s="50"/>
      <c r="EF4" s="50"/>
      <c r="EG4" s="50"/>
      <c r="EH4" s="50"/>
      <c r="EI4" s="50"/>
      <c r="EJ4" s="50"/>
      <c r="EK4" s="50"/>
      <c r="EL4" s="50"/>
      <c r="EM4" s="50"/>
    </row>
    <row r="5" spans="1:143" s="17" customFormat="1" ht="13.5" customHeight="1">
      <c r="A5" s="337"/>
      <c r="B5" s="268" t="s">
        <v>118</v>
      </c>
      <c r="C5" s="315"/>
      <c r="D5" s="315"/>
      <c r="E5" s="315"/>
      <c r="F5" s="315"/>
      <c r="G5" s="316"/>
      <c r="H5" s="90" t="s">
        <v>80</v>
      </c>
      <c r="I5" s="81" t="s">
        <v>80</v>
      </c>
      <c r="J5" s="81" t="s">
        <v>80</v>
      </c>
      <c r="K5" s="81" t="s">
        <v>80</v>
      </c>
      <c r="L5" s="81" t="s">
        <v>80</v>
      </c>
      <c r="M5" s="81" t="s">
        <v>80</v>
      </c>
      <c r="N5" s="81" t="s">
        <v>80</v>
      </c>
      <c r="O5" s="81"/>
      <c r="P5" s="81"/>
      <c r="Q5" s="81"/>
      <c r="R5" s="81"/>
      <c r="S5" s="81"/>
      <c r="T5" s="81"/>
      <c r="U5" s="82"/>
      <c r="V5" s="81"/>
      <c r="W5" s="81"/>
      <c r="X5" s="81"/>
      <c r="Y5" s="81"/>
      <c r="Z5" s="97"/>
      <c r="AA5" s="97"/>
      <c r="AB5" s="97"/>
      <c r="AC5" s="97"/>
      <c r="AD5" s="97"/>
      <c r="AE5" s="97"/>
      <c r="AF5" s="122"/>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50"/>
      <c r="DA5" s="50"/>
      <c r="DB5" s="50"/>
      <c r="DC5" s="50"/>
      <c r="DD5" s="50"/>
      <c r="DE5" s="50"/>
      <c r="DF5" s="50"/>
      <c r="DG5" s="50"/>
      <c r="DH5" s="50"/>
      <c r="DI5" s="50"/>
      <c r="DJ5" s="50"/>
      <c r="DK5" s="50"/>
      <c r="DL5" s="50"/>
      <c r="DM5" s="50"/>
      <c r="DN5" s="50"/>
      <c r="DO5" s="50"/>
      <c r="DP5" s="50"/>
      <c r="DQ5" s="50"/>
      <c r="DR5" s="50"/>
      <c r="DS5" s="50"/>
      <c r="DT5" s="50"/>
      <c r="DU5" s="50"/>
      <c r="DV5" s="50"/>
      <c r="DW5" s="50"/>
      <c r="DX5" s="50"/>
      <c r="DY5" s="50"/>
      <c r="DZ5" s="50"/>
      <c r="EA5" s="50"/>
      <c r="EB5" s="50"/>
      <c r="EC5" s="50"/>
      <c r="ED5" s="50"/>
      <c r="EE5" s="50"/>
      <c r="EF5" s="50"/>
      <c r="EG5" s="50"/>
      <c r="EH5" s="50"/>
      <c r="EI5" s="50"/>
      <c r="EJ5" s="50"/>
      <c r="EK5" s="50"/>
      <c r="EL5" s="50"/>
      <c r="EM5" s="50"/>
    </row>
    <row r="6" spans="1:143" s="17" customFormat="1" ht="13.5" customHeight="1">
      <c r="A6" s="337"/>
      <c r="B6" s="96"/>
      <c r="C6" s="234" t="s">
        <v>140</v>
      </c>
      <c r="D6" s="237"/>
      <c r="E6" s="237"/>
      <c r="F6" s="237"/>
      <c r="G6" s="304"/>
      <c r="H6" s="90" t="s">
        <v>80</v>
      </c>
      <c r="I6" s="81"/>
      <c r="J6" s="81"/>
      <c r="K6" s="81"/>
      <c r="L6" s="81"/>
      <c r="M6" s="81"/>
      <c r="N6" s="81"/>
      <c r="O6" s="81"/>
      <c r="P6" s="81"/>
      <c r="Q6" s="81"/>
      <c r="R6" s="81"/>
      <c r="S6" s="81"/>
      <c r="T6" s="81"/>
      <c r="U6" s="82"/>
      <c r="V6" s="81"/>
      <c r="W6" s="81"/>
      <c r="X6" s="81"/>
      <c r="Y6" s="81"/>
      <c r="Z6" s="97"/>
      <c r="AA6" s="97"/>
      <c r="AB6" s="97"/>
      <c r="AC6" s="97"/>
      <c r="AD6" s="97"/>
      <c r="AE6" s="97"/>
      <c r="AF6" s="122"/>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c r="CO6" s="50"/>
      <c r="CP6" s="50"/>
      <c r="CQ6" s="50"/>
      <c r="CR6" s="50"/>
      <c r="CS6" s="50"/>
      <c r="CT6" s="50"/>
      <c r="CU6" s="50"/>
      <c r="CV6" s="50"/>
      <c r="CW6" s="50"/>
      <c r="CX6" s="50"/>
      <c r="CY6" s="50"/>
      <c r="CZ6" s="50"/>
      <c r="DA6" s="50"/>
      <c r="DB6" s="50"/>
      <c r="DC6" s="50"/>
      <c r="DD6" s="50"/>
      <c r="DE6" s="50"/>
      <c r="DF6" s="50"/>
      <c r="DG6" s="50"/>
      <c r="DH6" s="50"/>
      <c r="DI6" s="50"/>
      <c r="DJ6" s="50"/>
      <c r="DK6" s="50"/>
      <c r="DL6" s="50"/>
      <c r="DM6" s="50"/>
      <c r="DN6" s="50"/>
      <c r="DO6" s="50"/>
      <c r="DP6" s="50"/>
      <c r="DQ6" s="50"/>
      <c r="DR6" s="50"/>
      <c r="DS6" s="50"/>
      <c r="DT6" s="50"/>
      <c r="DU6" s="50"/>
      <c r="DV6" s="50"/>
      <c r="DW6" s="50"/>
      <c r="DX6" s="50"/>
      <c r="DY6" s="50"/>
      <c r="DZ6" s="50"/>
      <c r="EA6" s="50"/>
      <c r="EB6" s="50"/>
      <c r="EC6" s="50"/>
      <c r="ED6" s="50"/>
      <c r="EE6" s="50"/>
      <c r="EF6" s="50"/>
      <c r="EG6" s="50"/>
      <c r="EH6" s="50"/>
      <c r="EI6" s="50"/>
      <c r="EJ6" s="50"/>
      <c r="EK6" s="50"/>
      <c r="EL6" s="50"/>
      <c r="EM6" s="50"/>
    </row>
    <row r="7" spans="1:143" s="17" customFormat="1" ht="13.5" customHeight="1">
      <c r="A7" s="337"/>
      <c r="B7" s="150"/>
      <c r="C7" s="234" t="s">
        <v>238</v>
      </c>
      <c r="D7" s="237"/>
      <c r="E7" s="237"/>
      <c r="F7" s="237"/>
      <c r="G7" s="304"/>
      <c r="H7" s="81"/>
      <c r="I7" s="90" t="s">
        <v>80</v>
      </c>
      <c r="J7" s="81"/>
      <c r="K7" s="103"/>
      <c r="L7" s="103"/>
      <c r="M7" s="103"/>
      <c r="N7" s="103"/>
      <c r="O7" s="103"/>
      <c r="P7" s="103"/>
      <c r="Q7" s="103"/>
      <c r="R7" s="103"/>
      <c r="S7" s="103"/>
      <c r="T7" s="103"/>
      <c r="U7" s="82"/>
      <c r="V7" s="103"/>
      <c r="W7" s="103"/>
      <c r="X7" s="103"/>
      <c r="Y7" s="103"/>
      <c r="Z7" s="103"/>
      <c r="AA7" s="103"/>
      <c r="AB7" s="103"/>
      <c r="AC7" s="103"/>
      <c r="AD7" s="103"/>
      <c r="AE7" s="103"/>
      <c r="AF7" s="122"/>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c r="CO7" s="50"/>
      <c r="CP7" s="50"/>
      <c r="CQ7" s="50"/>
      <c r="CR7" s="50"/>
      <c r="CS7" s="50"/>
      <c r="CT7" s="50"/>
      <c r="CU7" s="50"/>
      <c r="CV7" s="50"/>
      <c r="CW7" s="50"/>
      <c r="CX7" s="50"/>
      <c r="CY7" s="50"/>
      <c r="CZ7" s="50"/>
      <c r="DA7" s="50"/>
      <c r="DB7" s="50"/>
      <c r="DC7" s="50"/>
      <c r="DD7" s="50"/>
      <c r="DE7" s="50"/>
      <c r="DF7" s="50"/>
      <c r="DG7" s="50"/>
      <c r="DH7" s="50"/>
      <c r="DI7" s="50"/>
      <c r="DJ7" s="50"/>
      <c r="DK7" s="50"/>
      <c r="DL7" s="50"/>
      <c r="DM7" s="50"/>
      <c r="DN7" s="50"/>
      <c r="DO7" s="50"/>
      <c r="DP7" s="50"/>
      <c r="DQ7" s="50"/>
      <c r="DR7" s="50"/>
      <c r="DS7" s="50"/>
      <c r="DT7" s="50"/>
      <c r="DU7" s="50"/>
      <c r="DV7" s="50"/>
      <c r="DW7" s="50"/>
      <c r="DX7" s="50"/>
      <c r="DY7" s="50"/>
      <c r="DZ7" s="50"/>
      <c r="EA7" s="50"/>
      <c r="EB7" s="50"/>
      <c r="EC7" s="50"/>
      <c r="ED7" s="50"/>
      <c r="EE7" s="50"/>
      <c r="EF7" s="50"/>
      <c r="EG7" s="50"/>
      <c r="EH7" s="50"/>
      <c r="EI7" s="50"/>
      <c r="EJ7" s="50"/>
      <c r="EK7" s="50"/>
      <c r="EL7" s="50"/>
      <c r="EM7" s="50"/>
    </row>
    <row r="8" spans="1:143" s="17" customFormat="1" ht="13.5" customHeight="1">
      <c r="A8" s="337"/>
      <c r="B8" s="148"/>
      <c r="C8" s="234" t="s">
        <v>242</v>
      </c>
      <c r="D8" s="237"/>
      <c r="E8" s="237"/>
      <c r="F8" s="237"/>
      <c r="G8" s="304"/>
      <c r="H8" s="81"/>
      <c r="I8" s="103"/>
      <c r="J8" s="103" t="s">
        <v>80</v>
      </c>
      <c r="K8" s="103"/>
      <c r="L8" s="81"/>
      <c r="M8" s="103"/>
      <c r="N8" s="103"/>
      <c r="O8" s="103"/>
      <c r="P8" s="103"/>
      <c r="Q8" s="103"/>
      <c r="R8" s="103"/>
      <c r="S8" s="103"/>
      <c r="T8" s="103"/>
      <c r="U8" s="82"/>
      <c r="V8" s="103"/>
      <c r="W8" s="103"/>
      <c r="X8" s="103"/>
      <c r="Y8" s="103"/>
      <c r="Z8" s="103"/>
      <c r="AA8" s="103"/>
      <c r="AB8" s="103"/>
      <c r="AC8" s="103"/>
      <c r="AD8" s="103"/>
      <c r="AE8" s="103"/>
      <c r="AF8" s="122"/>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50"/>
      <c r="DA8" s="50"/>
      <c r="DB8" s="50"/>
      <c r="DC8" s="50"/>
      <c r="DD8" s="50"/>
      <c r="DE8" s="50"/>
      <c r="DF8" s="50"/>
      <c r="DG8" s="50"/>
      <c r="DH8" s="50"/>
      <c r="DI8" s="50"/>
      <c r="DJ8" s="50"/>
      <c r="DK8" s="50"/>
      <c r="DL8" s="50"/>
      <c r="DM8" s="50"/>
      <c r="DN8" s="50"/>
      <c r="DO8" s="50"/>
      <c r="DP8" s="50"/>
      <c r="DQ8" s="50"/>
      <c r="DR8" s="50"/>
      <c r="DS8" s="50"/>
      <c r="DT8" s="50"/>
      <c r="DU8" s="50"/>
      <c r="DV8" s="50"/>
      <c r="DW8" s="50"/>
      <c r="DX8" s="50"/>
      <c r="DY8" s="50"/>
      <c r="DZ8" s="50"/>
      <c r="EA8" s="50"/>
      <c r="EB8" s="50"/>
      <c r="EC8" s="50"/>
      <c r="ED8" s="50"/>
      <c r="EE8" s="50"/>
      <c r="EF8" s="50"/>
      <c r="EG8" s="50"/>
      <c r="EH8" s="50"/>
      <c r="EI8" s="50"/>
      <c r="EJ8" s="50"/>
      <c r="EK8" s="50"/>
      <c r="EL8" s="50"/>
      <c r="EM8" s="50"/>
    </row>
    <row r="9" spans="1:143" s="17" customFormat="1" ht="13.5" customHeight="1">
      <c r="A9" s="337"/>
      <c r="B9" s="148"/>
      <c r="C9" s="234" t="s">
        <v>59</v>
      </c>
      <c r="D9" s="237"/>
      <c r="E9" s="237"/>
      <c r="F9" s="237"/>
      <c r="G9" s="304"/>
      <c r="H9" s="81"/>
      <c r="I9" s="103"/>
      <c r="J9" s="103"/>
      <c r="K9" s="103"/>
      <c r="L9" s="103"/>
      <c r="M9" s="81"/>
      <c r="N9" s="103"/>
      <c r="O9" s="103"/>
      <c r="P9" s="103"/>
      <c r="Q9" s="103"/>
      <c r="R9" s="103"/>
      <c r="S9" s="103"/>
      <c r="T9" s="103"/>
      <c r="U9" s="82"/>
      <c r="V9" s="103"/>
      <c r="W9" s="103"/>
      <c r="X9" s="103"/>
      <c r="Y9" s="103"/>
      <c r="Z9" s="103"/>
      <c r="AA9" s="103"/>
      <c r="AB9" s="103"/>
      <c r="AC9" s="103"/>
      <c r="AD9" s="103"/>
      <c r="AE9" s="103"/>
      <c r="AF9" s="122"/>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c r="CW9" s="50"/>
      <c r="CX9" s="50"/>
      <c r="CY9" s="50"/>
      <c r="CZ9" s="50"/>
      <c r="DA9" s="50"/>
      <c r="DB9" s="50"/>
      <c r="DC9" s="50"/>
      <c r="DD9" s="50"/>
      <c r="DE9" s="50"/>
      <c r="DF9" s="50"/>
      <c r="DG9" s="50"/>
      <c r="DH9" s="50"/>
      <c r="DI9" s="50"/>
      <c r="DJ9" s="50"/>
      <c r="DK9" s="50"/>
      <c r="DL9" s="50"/>
      <c r="DM9" s="50"/>
      <c r="DN9" s="50"/>
      <c r="DO9" s="50"/>
      <c r="DP9" s="50"/>
      <c r="DQ9" s="50"/>
      <c r="DR9" s="50"/>
      <c r="DS9" s="50"/>
      <c r="DT9" s="50"/>
      <c r="DU9" s="50"/>
      <c r="DV9" s="50"/>
      <c r="DW9" s="50"/>
      <c r="DX9" s="50"/>
      <c r="DY9" s="50"/>
      <c r="DZ9" s="50"/>
      <c r="EA9" s="50"/>
      <c r="EB9" s="50"/>
      <c r="EC9" s="50"/>
      <c r="ED9" s="50"/>
      <c r="EE9" s="50"/>
      <c r="EF9" s="50"/>
      <c r="EG9" s="50"/>
      <c r="EH9" s="50"/>
      <c r="EI9" s="50"/>
      <c r="EJ9" s="50"/>
      <c r="EK9" s="50"/>
      <c r="EL9" s="50"/>
      <c r="EM9" s="50"/>
    </row>
    <row r="10" spans="1:143" s="17" customFormat="1" ht="13.5" customHeight="1">
      <c r="A10" s="337"/>
      <c r="B10" s="148"/>
      <c r="C10" s="149"/>
      <c r="D10" s="234" t="s">
        <v>121</v>
      </c>
      <c r="E10" s="237"/>
      <c r="F10" s="237"/>
      <c r="G10" s="304"/>
      <c r="H10" s="83"/>
      <c r="I10" s="103"/>
      <c r="J10" s="103"/>
      <c r="K10" s="103" t="s">
        <v>80</v>
      </c>
      <c r="L10" s="103"/>
      <c r="M10" s="103"/>
      <c r="N10" s="81"/>
      <c r="O10" s="103"/>
      <c r="P10" s="103"/>
      <c r="Q10" s="103"/>
      <c r="R10" s="103"/>
      <c r="S10" s="103"/>
      <c r="T10" s="103"/>
      <c r="U10" s="82"/>
      <c r="V10" s="103"/>
      <c r="W10" s="103"/>
      <c r="X10" s="103"/>
      <c r="Y10" s="103"/>
      <c r="Z10" s="103"/>
      <c r="AA10" s="103"/>
      <c r="AB10" s="103"/>
      <c r="AC10" s="103"/>
      <c r="AD10" s="103"/>
      <c r="AE10" s="103"/>
      <c r="AF10" s="2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50"/>
      <c r="DA10" s="50"/>
      <c r="DB10" s="50"/>
      <c r="DC10" s="50"/>
      <c r="DD10" s="50"/>
      <c r="DE10" s="50"/>
      <c r="DF10" s="50"/>
      <c r="DG10" s="50"/>
      <c r="DH10" s="50"/>
      <c r="DI10" s="50"/>
      <c r="DJ10" s="50"/>
      <c r="DK10" s="50"/>
      <c r="DL10" s="50"/>
      <c r="DM10" s="50"/>
      <c r="DN10" s="50"/>
      <c r="DO10" s="50"/>
      <c r="DP10" s="50"/>
      <c r="DQ10" s="50"/>
      <c r="DR10" s="50"/>
      <c r="DS10" s="50"/>
      <c r="DT10" s="50"/>
      <c r="DU10" s="50"/>
      <c r="DV10" s="50"/>
      <c r="DW10" s="50"/>
      <c r="DX10" s="50"/>
      <c r="DY10" s="50"/>
      <c r="DZ10" s="50"/>
      <c r="EA10" s="50"/>
      <c r="EB10" s="50"/>
      <c r="EC10" s="50"/>
      <c r="ED10" s="50"/>
      <c r="EE10" s="50"/>
      <c r="EF10" s="50"/>
      <c r="EG10" s="50"/>
      <c r="EH10" s="50"/>
      <c r="EI10" s="50"/>
      <c r="EJ10" s="50"/>
      <c r="EK10" s="50"/>
      <c r="EL10" s="50"/>
      <c r="EM10" s="50"/>
    </row>
    <row r="11" spans="1:143" s="17" customFormat="1" ht="13.5" customHeight="1">
      <c r="A11" s="337"/>
      <c r="B11" s="148"/>
      <c r="C11" s="216" t="s">
        <v>125</v>
      </c>
      <c r="D11" s="217"/>
      <c r="E11" s="217"/>
      <c r="F11" s="217"/>
      <c r="G11" s="273"/>
      <c r="H11" s="83"/>
      <c r="I11" s="95"/>
      <c r="J11" s="95"/>
      <c r="K11" s="95"/>
      <c r="L11" s="103" t="s">
        <v>80</v>
      </c>
      <c r="M11" s="95"/>
      <c r="N11" s="84"/>
      <c r="O11" s="95"/>
      <c r="P11" s="95"/>
      <c r="Q11" s="95"/>
      <c r="R11" s="95"/>
      <c r="S11" s="95"/>
      <c r="T11" s="95"/>
      <c r="U11" s="145"/>
      <c r="V11" s="95"/>
      <c r="W11" s="95"/>
      <c r="X11" s="95"/>
      <c r="Y11" s="95"/>
      <c r="Z11" s="95"/>
      <c r="AA11" s="95"/>
      <c r="AB11" s="95"/>
      <c r="AC11" s="95"/>
      <c r="AD11" s="95"/>
      <c r="AE11" s="95"/>
      <c r="AF11" s="144"/>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50"/>
      <c r="DA11" s="50"/>
      <c r="DB11" s="50"/>
      <c r="DC11" s="50"/>
      <c r="DD11" s="50"/>
      <c r="DE11" s="50"/>
      <c r="DF11" s="50"/>
      <c r="DG11" s="50"/>
      <c r="DH11" s="50"/>
      <c r="DI11" s="50"/>
      <c r="DJ11" s="50"/>
      <c r="DK11" s="50"/>
      <c r="DL11" s="50"/>
      <c r="DM11" s="50"/>
      <c r="DN11" s="50"/>
      <c r="DO11" s="50"/>
      <c r="DP11" s="50"/>
      <c r="DQ11" s="50"/>
      <c r="DR11" s="50"/>
      <c r="DS11" s="50"/>
      <c r="DT11" s="50"/>
      <c r="DU11" s="50"/>
      <c r="DV11" s="50"/>
      <c r="DW11" s="50"/>
      <c r="DX11" s="50"/>
      <c r="DY11" s="50"/>
      <c r="DZ11" s="50"/>
      <c r="EA11" s="50"/>
      <c r="EB11" s="50"/>
      <c r="EC11" s="50"/>
      <c r="ED11" s="50"/>
      <c r="EE11" s="50"/>
      <c r="EF11" s="50"/>
      <c r="EG11" s="50"/>
      <c r="EH11" s="50"/>
      <c r="EI11" s="50"/>
      <c r="EJ11" s="50"/>
      <c r="EK11" s="50"/>
      <c r="EL11" s="50"/>
      <c r="EM11" s="50"/>
    </row>
    <row r="12" spans="1:143" s="17" customFormat="1" ht="13.5" customHeight="1">
      <c r="A12" s="337"/>
      <c r="B12" s="148"/>
      <c r="C12" s="216" t="s">
        <v>77</v>
      </c>
      <c r="D12" s="217"/>
      <c r="E12" s="217"/>
      <c r="F12" s="217"/>
      <c r="G12" s="273"/>
      <c r="H12" s="147"/>
      <c r="I12" s="95"/>
      <c r="J12" s="95"/>
      <c r="K12" s="95"/>
      <c r="L12" s="95"/>
      <c r="M12" s="103" t="s">
        <v>80</v>
      </c>
      <c r="N12" s="84"/>
      <c r="O12" s="95"/>
      <c r="P12" s="95"/>
      <c r="Q12" s="95"/>
      <c r="R12" s="95"/>
      <c r="S12" s="95"/>
      <c r="T12" s="95"/>
      <c r="U12" s="145"/>
      <c r="V12" s="95"/>
      <c r="W12" s="95"/>
      <c r="X12" s="95"/>
      <c r="Y12" s="95"/>
      <c r="Z12" s="95"/>
      <c r="AA12" s="95"/>
      <c r="AB12" s="95"/>
      <c r="AC12" s="95"/>
      <c r="AD12" s="95"/>
      <c r="AE12" s="95"/>
      <c r="AF12" s="144"/>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c r="CW12" s="50"/>
      <c r="CX12" s="50"/>
      <c r="CY12" s="50"/>
      <c r="CZ12" s="50"/>
      <c r="DA12" s="50"/>
      <c r="DB12" s="50"/>
      <c r="DC12" s="50"/>
      <c r="DD12" s="50"/>
      <c r="DE12" s="50"/>
      <c r="DF12" s="50"/>
      <c r="DG12" s="50"/>
      <c r="DH12" s="50"/>
      <c r="DI12" s="50"/>
      <c r="DJ12" s="50"/>
      <c r="DK12" s="50"/>
      <c r="DL12" s="50"/>
      <c r="DM12" s="50"/>
      <c r="DN12" s="50"/>
      <c r="DO12" s="50"/>
      <c r="DP12" s="50"/>
      <c r="DQ12" s="50"/>
      <c r="DR12" s="50"/>
      <c r="DS12" s="50"/>
      <c r="DT12" s="50"/>
      <c r="DU12" s="50"/>
      <c r="DV12" s="50"/>
      <c r="DW12" s="50"/>
      <c r="DX12" s="50"/>
      <c r="DY12" s="50"/>
      <c r="DZ12" s="50"/>
      <c r="EA12" s="50"/>
      <c r="EB12" s="50"/>
      <c r="EC12" s="50"/>
      <c r="ED12" s="50"/>
      <c r="EE12" s="50"/>
      <c r="EF12" s="50"/>
      <c r="EG12" s="50"/>
      <c r="EH12" s="50"/>
      <c r="EI12" s="50"/>
      <c r="EJ12" s="50"/>
      <c r="EK12" s="50"/>
      <c r="EL12" s="50"/>
      <c r="EM12" s="50"/>
    </row>
    <row r="13" spans="1:143" s="17" customFormat="1" ht="13.5" customHeight="1" thickBot="1">
      <c r="A13" s="337"/>
      <c r="B13" s="146"/>
      <c r="C13" s="338" t="s">
        <v>90</v>
      </c>
      <c r="D13" s="339"/>
      <c r="E13" s="339"/>
      <c r="F13" s="339"/>
      <c r="G13" s="340"/>
      <c r="H13" s="108"/>
      <c r="I13" s="95"/>
      <c r="J13" s="95"/>
      <c r="K13" s="95"/>
      <c r="L13" s="95"/>
      <c r="M13" s="95"/>
      <c r="N13" s="95" t="s">
        <v>80</v>
      </c>
      <c r="O13" s="95"/>
      <c r="P13" s="95"/>
      <c r="Q13" s="95"/>
      <c r="R13" s="95"/>
      <c r="S13" s="95"/>
      <c r="T13" s="84"/>
      <c r="U13" s="145"/>
      <c r="V13" s="84"/>
      <c r="W13" s="84"/>
      <c r="X13" s="84"/>
      <c r="Y13" s="84"/>
      <c r="Z13" s="95"/>
      <c r="AA13" s="95"/>
      <c r="AB13" s="95"/>
      <c r="AC13" s="95"/>
      <c r="AD13" s="95"/>
      <c r="AE13" s="95"/>
      <c r="AF13" s="144"/>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c r="CW13" s="50"/>
      <c r="CX13" s="50"/>
      <c r="CY13" s="50"/>
      <c r="CZ13" s="50"/>
      <c r="DA13" s="50"/>
      <c r="DB13" s="50"/>
      <c r="DC13" s="50"/>
      <c r="DD13" s="50"/>
      <c r="DE13" s="50"/>
      <c r="DF13" s="50"/>
      <c r="DG13" s="50"/>
      <c r="DH13" s="50"/>
      <c r="DI13" s="50"/>
      <c r="DJ13" s="50"/>
      <c r="DK13" s="50"/>
      <c r="DL13" s="50"/>
      <c r="DM13" s="50"/>
      <c r="DN13" s="50"/>
      <c r="DO13" s="50"/>
      <c r="DP13" s="50"/>
      <c r="DQ13" s="50"/>
      <c r="DR13" s="50"/>
      <c r="DS13" s="50"/>
      <c r="DT13" s="50"/>
      <c r="DU13" s="50"/>
      <c r="DV13" s="50"/>
      <c r="DW13" s="50"/>
      <c r="DX13" s="50"/>
      <c r="DY13" s="50"/>
      <c r="DZ13" s="50"/>
      <c r="EA13" s="50"/>
      <c r="EB13" s="50"/>
      <c r="EC13" s="50"/>
      <c r="ED13" s="50"/>
      <c r="EE13" s="50"/>
      <c r="EF13" s="50"/>
      <c r="EG13" s="50"/>
      <c r="EH13" s="50"/>
      <c r="EI13" s="50"/>
      <c r="EJ13" s="50"/>
      <c r="EK13" s="50"/>
      <c r="EL13" s="50"/>
      <c r="EM13" s="50"/>
    </row>
    <row r="14" spans="1:143" s="17" customFormat="1" ht="13.5" customHeight="1">
      <c r="A14" s="227" t="s">
        <v>181</v>
      </c>
      <c r="B14" s="313" t="s">
        <v>66</v>
      </c>
      <c r="C14" s="313"/>
      <c r="D14" s="313"/>
      <c r="E14" s="313"/>
      <c r="F14" s="313"/>
      <c r="G14" s="323"/>
      <c r="H14" s="109"/>
      <c r="I14" s="26"/>
      <c r="J14" s="26"/>
      <c r="K14" s="26"/>
      <c r="L14" s="26"/>
      <c r="M14" s="26"/>
      <c r="N14" s="26"/>
      <c r="O14" s="26"/>
      <c r="P14" s="26"/>
      <c r="Q14" s="26"/>
      <c r="R14" s="26"/>
      <c r="S14" s="26"/>
      <c r="T14" s="26"/>
      <c r="U14" s="143"/>
      <c r="V14" s="26"/>
      <c r="W14" s="26"/>
      <c r="X14" s="26"/>
      <c r="Y14" s="26"/>
      <c r="Z14" s="26"/>
      <c r="AA14" s="26"/>
      <c r="AB14" s="26"/>
      <c r="AC14" s="26"/>
      <c r="AD14" s="26"/>
      <c r="AE14" s="26"/>
      <c r="AF14" s="27"/>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50"/>
      <c r="DF14" s="50"/>
      <c r="DG14" s="50"/>
      <c r="DH14" s="50"/>
      <c r="DI14" s="50"/>
      <c r="DJ14" s="50"/>
      <c r="DK14" s="50"/>
      <c r="DL14" s="50"/>
      <c r="DM14" s="50"/>
      <c r="DN14" s="50"/>
      <c r="DO14" s="50"/>
      <c r="DP14" s="50"/>
      <c r="DQ14" s="50"/>
      <c r="DR14" s="50"/>
      <c r="DS14" s="50"/>
      <c r="DT14" s="50"/>
      <c r="DU14" s="50"/>
      <c r="DV14" s="50"/>
      <c r="DW14" s="50"/>
      <c r="DX14" s="50"/>
      <c r="DY14" s="50"/>
      <c r="DZ14" s="50"/>
      <c r="EA14" s="50"/>
      <c r="EB14" s="50"/>
      <c r="EC14" s="50"/>
      <c r="ED14" s="50"/>
      <c r="EE14" s="50"/>
      <c r="EF14" s="50"/>
      <c r="EG14" s="50"/>
      <c r="EH14" s="50"/>
      <c r="EI14" s="50"/>
      <c r="EJ14" s="50"/>
      <c r="EK14" s="50"/>
      <c r="EL14" s="50"/>
      <c r="EM14" s="50"/>
    </row>
    <row r="15" spans="1:143" s="17" customFormat="1" ht="13.5" customHeight="1">
      <c r="A15" s="227"/>
      <c r="B15" s="105"/>
      <c r="C15" s="216" t="s">
        <v>67</v>
      </c>
      <c r="D15" s="217"/>
      <c r="E15" s="217"/>
      <c r="F15" s="217"/>
      <c r="G15" s="273"/>
      <c r="H15" s="110"/>
      <c r="I15" s="87"/>
      <c r="J15" s="87"/>
      <c r="K15" s="87"/>
      <c r="L15" s="87"/>
      <c r="M15" s="87"/>
      <c r="N15" s="87"/>
      <c r="O15" s="87"/>
      <c r="P15" s="87"/>
      <c r="Q15" s="87"/>
      <c r="R15" s="87"/>
      <c r="S15" s="87"/>
      <c r="T15" s="87"/>
      <c r="U15" s="142"/>
      <c r="V15" s="87"/>
      <c r="W15" s="87"/>
      <c r="X15" s="87"/>
      <c r="Y15" s="87"/>
      <c r="Z15" s="87"/>
      <c r="AA15" s="87"/>
      <c r="AB15" s="87"/>
      <c r="AC15" s="87"/>
      <c r="AD15" s="87"/>
      <c r="AE15" s="87"/>
      <c r="AF15" s="121"/>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50"/>
      <c r="EC15" s="50"/>
      <c r="ED15" s="50"/>
      <c r="EE15" s="50"/>
      <c r="EF15" s="50"/>
      <c r="EG15" s="50"/>
      <c r="EH15" s="50"/>
      <c r="EI15" s="50"/>
      <c r="EJ15" s="50"/>
      <c r="EK15" s="50"/>
      <c r="EL15" s="50"/>
      <c r="EM15" s="50"/>
    </row>
    <row r="16" spans="1:143" s="17" customFormat="1" ht="13.5" customHeight="1">
      <c r="A16" s="227"/>
      <c r="B16" s="105"/>
      <c r="C16" s="141"/>
      <c r="D16" s="216" t="s">
        <v>70</v>
      </c>
      <c r="E16" s="217"/>
      <c r="F16" s="217"/>
      <c r="G16" s="273"/>
      <c r="H16" s="110"/>
      <c r="I16" s="87"/>
      <c r="J16" s="87"/>
      <c r="K16" s="81" t="s">
        <v>80</v>
      </c>
      <c r="L16" s="87"/>
      <c r="M16" s="87"/>
      <c r="N16" s="87"/>
      <c r="O16" s="87"/>
      <c r="P16" s="87"/>
      <c r="Q16" s="87"/>
      <c r="R16" s="87"/>
      <c r="S16" s="87"/>
      <c r="T16" s="87"/>
      <c r="U16" s="142"/>
      <c r="V16" s="87"/>
      <c r="W16" s="87"/>
      <c r="X16" s="87"/>
      <c r="Y16" s="87"/>
      <c r="Z16" s="87"/>
      <c r="AA16" s="87"/>
      <c r="AB16" s="87"/>
      <c r="AC16" s="87"/>
      <c r="AD16" s="87"/>
      <c r="AE16" s="87"/>
      <c r="AF16" s="121"/>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50"/>
      <c r="DK16" s="50"/>
      <c r="DL16" s="50"/>
      <c r="DM16" s="50"/>
      <c r="DN16" s="50"/>
      <c r="DO16" s="50"/>
      <c r="DP16" s="50"/>
      <c r="DQ16" s="50"/>
      <c r="DR16" s="50"/>
      <c r="DS16" s="50"/>
      <c r="DT16" s="50"/>
      <c r="DU16" s="50"/>
      <c r="DV16" s="50"/>
      <c r="DW16" s="50"/>
      <c r="DX16" s="50"/>
      <c r="DY16" s="50"/>
      <c r="DZ16" s="50"/>
      <c r="EA16" s="50"/>
      <c r="EB16" s="50"/>
      <c r="EC16" s="50"/>
      <c r="ED16" s="50"/>
      <c r="EE16" s="50"/>
      <c r="EF16" s="50"/>
      <c r="EG16" s="50"/>
      <c r="EH16" s="50"/>
      <c r="EI16" s="50"/>
      <c r="EJ16" s="50"/>
      <c r="EK16" s="50"/>
      <c r="EL16" s="50"/>
      <c r="EM16" s="50"/>
    </row>
    <row r="17" spans="1:143" s="17" customFormat="1" ht="13.5" customHeight="1">
      <c r="A17" s="227"/>
      <c r="B17" s="277"/>
      <c r="C17" s="216" t="s">
        <v>73</v>
      </c>
      <c r="D17" s="217"/>
      <c r="E17" s="217"/>
      <c r="F17" s="217"/>
      <c r="G17" s="273"/>
      <c r="H17" s="110"/>
      <c r="I17" s="87"/>
      <c r="J17" s="87"/>
      <c r="K17" s="87"/>
      <c r="L17" s="87"/>
      <c r="M17" s="87"/>
      <c r="N17" s="87"/>
      <c r="O17" s="87"/>
      <c r="P17" s="87"/>
      <c r="Q17" s="87"/>
      <c r="R17" s="87"/>
      <c r="S17" s="87"/>
      <c r="T17" s="87"/>
      <c r="U17" s="82"/>
      <c r="V17" s="87"/>
      <c r="W17" s="87"/>
      <c r="X17" s="87"/>
      <c r="Y17" s="87"/>
      <c r="Z17" s="87"/>
      <c r="AA17" s="87"/>
      <c r="AB17" s="87"/>
      <c r="AC17" s="87"/>
      <c r="AD17" s="87"/>
      <c r="AE17" s="87"/>
      <c r="AF17" s="121"/>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50"/>
      <c r="DF17" s="50"/>
      <c r="DG17" s="50"/>
      <c r="DH17" s="50"/>
      <c r="DI17" s="50"/>
      <c r="DJ17" s="50"/>
      <c r="DK17" s="50"/>
      <c r="DL17" s="50"/>
      <c r="DM17" s="50"/>
      <c r="DN17" s="50"/>
      <c r="DO17" s="50"/>
      <c r="DP17" s="50"/>
      <c r="DQ17" s="50"/>
      <c r="DR17" s="50"/>
      <c r="DS17" s="50"/>
      <c r="DT17" s="50"/>
      <c r="DU17" s="50"/>
      <c r="DV17" s="50"/>
      <c r="DW17" s="50"/>
      <c r="DX17" s="50"/>
      <c r="DY17" s="50"/>
      <c r="DZ17" s="50"/>
      <c r="EA17" s="50"/>
      <c r="EB17" s="50"/>
      <c r="EC17" s="50"/>
      <c r="ED17" s="50"/>
      <c r="EE17" s="50"/>
      <c r="EF17" s="50"/>
      <c r="EG17" s="50"/>
      <c r="EH17" s="50"/>
      <c r="EI17" s="50"/>
      <c r="EJ17" s="50"/>
      <c r="EK17" s="50"/>
      <c r="EL17" s="50"/>
      <c r="EM17" s="50"/>
    </row>
    <row r="18" spans="1:143" s="17" customFormat="1" ht="13.5" customHeight="1">
      <c r="A18" s="227"/>
      <c r="B18" s="238"/>
      <c r="C18" s="141"/>
      <c r="D18" s="216" t="s">
        <v>74</v>
      </c>
      <c r="E18" s="217"/>
      <c r="F18" s="217"/>
      <c r="G18" s="273"/>
      <c r="H18" s="81" t="s">
        <v>80</v>
      </c>
      <c r="I18" s="81" t="s">
        <v>80</v>
      </c>
      <c r="J18" s="81" t="s">
        <v>80</v>
      </c>
      <c r="K18" s="81" t="s">
        <v>80</v>
      </c>
      <c r="L18" s="81" t="s">
        <v>80</v>
      </c>
      <c r="M18" s="81" t="s">
        <v>80</v>
      </c>
      <c r="N18" s="81"/>
      <c r="O18" s="81"/>
      <c r="P18" s="81"/>
      <c r="Q18" s="81"/>
      <c r="R18" s="81"/>
      <c r="S18" s="81"/>
      <c r="T18" s="87"/>
      <c r="U18" s="82"/>
      <c r="V18" s="87"/>
      <c r="W18" s="87"/>
      <c r="X18" s="87"/>
      <c r="Y18" s="87"/>
      <c r="Z18" s="87"/>
      <c r="AA18" s="87"/>
      <c r="AB18" s="87"/>
      <c r="AC18" s="87"/>
      <c r="AD18" s="87"/>
      <c r="AE18" s="87"/>
      <c r="AF18" s="121"/>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50"/>
      <c r="DF18" s="50"/>
      <c r="DG18" s="50"/>
      <c r="DH18" s="50"/>
      <c r="DI18" s="50"/>
      <c r="DJ18" s="50"/>
      <c r="DK18" s="50"/>
      <c r="DL18" s="50"/>
      <c r="DM18" s="50"/>
      <c r="DN18" s="50"/>
      <c r="DO18" s="50"/>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row>
    <row r="19" spans="1:143" s="17" customFormat="1" ht="28.5" customHeight="1">
      <c r="A19" s="227"/>
      <c r="B19" s="238"/>
      <c r="C19" s="216" t="s">
        <v>304</v>
      </c>
      <c r="D19" s="217"/>
      <c r="E19" s="217"/>
      <c r="F19" s="217"/>
      <c r="G19" s="273"/>
      <c r="H19" s="110"/>
      <c r="I19" s="87"/>
      <c r="J19" s="87"/>
      <c r="K19" s="87"/>
      <c r="L19" s="87"/>
      <c r="M19" s="87"/>
      <c r="N19" s="87"/>
      <c r="O19" s="87"/>
      <c r="P19" s="87"/>
      <c r="Q19" s="87"/>
      <c r="R19" s="87"/>
      <c r="S19" s="87"/>
      <c r="T19" s="87"/>
      <c r="U19" s="82"/>
      <c r="V19" s="87"/>
      <c r="W19" s="87"/>
      <c r="X19" s="87"/>
      <c r="Y19" s="87"/>
      <c r="Z19" s="87"/>
      <c r="AA19" s="87"/>
      <c r="AB19" s="87"/>
      <c r="AC19" s="87"/>
      <c r="AD19" s="87"/>
      <c r="AE19" s="87"/>
      <c r="AF19" s="121"/>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50"/>
      <c r="DF19" s="50"/>
      <c r="DG19" s="50"/>
      <c r="DH19" s="50"/>
      <c r="DI19" s="50"/>
      <c r="DJ19" s="50"/>
      <c r="DK19" s="50"/>
      <c r="DL19" s="50"/>
      <c r="DM19" s="50"/>
      <c r="DN19" s="50"/>
      <c r="DO19" s="50"/>
      <c r="DP19" s="50"/>
      <c r="DQ19" s="50"/>
      <c r="DR19" s="50"/>
      <c r="DS19" s="50"/>
      <c r="DT19" s="50"/>
      <c r="DU19" s="50"/>
      <c r="DV19" s="50"/>
      <c r="DW19" s="50"/>
      <c r="DX19" s="50"/>
      <c r="DY19" s="50"/>
      <c r="DZ19" s="50"/>
      <c r="EA19" s="50"/>
      <c r="EB19" s="50"/>
      <c r="EC19" s="50"/>
      <c r="ED19" s="50"/>
      <c r="EE19" s="50"/>
      <c r="EF19" s="50"/>
      <c r="EG19" s="50"/>
      <c r="EH19" s="50"/>
      <c r="EI19" s="50"/>
      <c r="EJ19" s="50"/>
      <c r="EK19" s="50"/>
      <c r="EL19" s="50"/>
      <c r="EM19" s="50"/>
    </row>
    <row r="20" spans="1:143" s="17" customFormat="1" ht="13.5" customHeight="1">
      <c r="A20" s="227"/>
      <c r="B20" s="238"/>
      <c r="C20" s="285"/>
      <c r="D20" s="234" t="s">
        <v>303</v>
      </c>
      <c r="E20" s="237"/>
      <c r="F20" s="237"/>
      <c r="G20" s="304"/>
      <c r="H20" s="110"/>
      <c r="I20" s="81" t="s">
        <v>80</v>
      </c>
      <c r="J20" s="23"/>
      <c r="K20" s="23"/>
      <c r="L20" s="23"/>
      <c r="M20" s="87"/>
      <c r="N20" s="87"/>
      <c r="O20" s="87"/>
      <c r="P20" s="87"/>
      <c r="Q20" s="87"/>
      <c r="R20" s="87"/>
      <c r="S20" s="87"/>
      <c r="T20" s="87"/>
      <c r="U20" s="82"/>
      <c r="V20" s="87"/>
      <c r="W20" s="87"/>
      <c r="X20" s="87"/>
      <c r="Y20" s="87"/>
      <c r="Z20" s="87"/>
      <c r="AA20" s="87"/>
      <c r="AB20" s="87"/>
      <c r="AC20" s="87"/>
      <c r="AD20" s="87"/>
      <c r="AE20" s="87"/>
      <c r="AF20" s="121"/>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50"/>
      <c r="DF20" s="50"/>
      <c r="DG20" s="50"/>
      <c r="DH20" s="50"/>
      <c r="DI20" s="50"/>
      <c r="DJ20" s="50"/>
      <c r="DK20" s="50"/>
      <c r="DL20" s="50"/>
      <c r="DM20" s="50"/>
      <c r="DN20" s="50"/>
      <c r="DO20" s="50"/>
      <c r="DP20" s="50"/>
      <c r="DQ20" s="50"/>
      <c r="DR20" s="50"/>
      <c r="DS20" s="50"/>
      <c r="DT20" s="50"/>
      <c r="DU20" s="50"/>
      <c r="DV20" s="50"/>
      <c r="DW20" s="50"/>
      <c r="DX20" s="50"/>
      <c r="DY20" s="50"/>
      <c r="DZ20" s="50"/>
      <c r="EA20" s="50"/>
      <c r="EB20" s="50"/>
      <c r="EC20" s="50"/>
      <c r="ED20" s="50"/>
      <c r="EE20" s="50"/>
      <c r="EF20" s="50"/>
      <c r="EG20" s="50"/>
      <c r="EH20" s="50"/>
      <c r="EI20" s="50"/>
      <c r="EJ20" s="50"/>
      <c r="EK20" s="50"/>
      <c r="EL20" s="50"/>
      <c r="EM20" s="50"/>
    </row>
    <row r="21" spans="1:143" s="17" customFormat="1" ht="13.5" customHeight="1">
      <c r="A21" s="227"/>
      <c r="B21" s="238"/>
      <c r="C21" s="285"/>
      <c r="D21" s="234" t="s">
        <v>302</v>
      </c>
      <c r="E21" s="237"/>
      <c r="F21" s="237"/>
      <c r="G21" s="304"/>
      <c r="H21" s="110"/>
      <c r="I21" s="23"/>
      <c r="J21" s="81" t="s">
        <v>80</v>
      </c>
      <c r="K21" s="81"/>
      <c r="L21" s="23"/>
      <c r="M21" s="87"/>
      <c r="N21" s="87"/>
      <c r="O21" s="87"/>
      <c r="P21" s="87"/>
      <c r="Q21" s="87"/>
      <c r="R21" s="87"/>
      <c r="S21" s="87"/>
      <c r="T21" s="87"/>
      <c r="U21" s="82"/>
      <c r="V21" s="87"/>
      <c r="W21" s="87"/>
      <c r="X21" s="87"/>
      <c r="Y21" s="87"/>
      <c r="Z21" s="87"/>
      <c r="AA21" s="87"/>
      <c r="AB21" s="87"/>
      <c r="AC21" s="87"/>
      <c r="AD21" s="87"/>
      <c r="AE21" s="87"/>
      <c r="AF21" s="121"/>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0"/>
      <c r="DP21" s="50"/>
      <c r="DQ21" s="50"/>
      <c r="DR21" s="50"/>
      <c r="DS21" s="50"/>
      <c r="DT21" s="50"/>
      <c r="DU21" s="50"/>
      <c r="DV21" s="50"/>
      <c r="DW21" s="50"/>
      <c r="DX21" s="50"/>
      <c r="DY21" s="50"/>
      <c r="DZ21" s="50"/>
      <c r="EA21" s="50"/>
      <c r="EB21" s="50"/>
      <c r="EC21" s="50"/>
      <c r="ED21" s="50"/>
      <c r="EE21" s="50"/>
      <c r="EF21" s="50"/>
      <c r="EG21" s="50"/>
      <c r="EH21" s="50"/>
      <c r="EI21" s="50"/>
      <c r="EJ21" s="50"/>
      <c r="EK21" s="50"/>
      <c r="EL21" s="50"/>
      <c r="EM21" s="50"/>
    </row>
    <row r="22" spans="1:143" s="17" customFormat="1" ht="13.5" customHeight="1">
      <c r="A22" s="227"/>
      <c r="B22" s="238"/>
      <c r="C22" s="216" t="s">
        <v>321</v>
      </c>
      <c r="D22" s="217"/>
      <c r="E22" s="217"/>
      <c r="F22" s="217"/>
      <c r="G22" s="273"/>
      <c r="H22" s="90" t="s">
        <v>80</v>
      </c>
      <c r="I22" s="81" t="s">
        <v>80</v>
      </c>
      <c r="J22" s="81" t="s">
        <v>80</v>
      </c>
      <c r="K22" s="81" t="s">
        <v>80</v>
      </c>
      <c r="L22" s="81" t="s">
        <v>80</v>
      </c>
      <c r="M22" s="81" t="s">
        <v>80</v>
      </c>
      <c r="N22" s="87"/>
      <c r="O22" s="87"/>
      <c r="P22" s="87"/>
      <c r="Q22" s="87"/>
      <c r="R22" s="87"/>
      <c r="S22" s="87"/>
      <c r="T22" s="87"/>
      <c r="U22" s="82"/>
      <c r="V22" s="87"/>
      <c r="W22" s="87"/>
      <c r="X22" s="87"/>
      <c r="Y22" s="87"/>
      <c r="Z22" s="87"/>
      <c r="AA22" s="87"/>
      <c r="AB22" s="87"/>
      <c r="AC22" s="87"/>
      <c r="AD22" s="87"/>
      <c r="AE22" s="87"/>
      <c r="AF22" s="121"/>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50"/>
      <c r="DF22" s="50"/>
      <c r="DG22" s="50"/>
      <c r="DH22" s="50"/>
      <c r="DI22" s="50"/>
      <c r="DJ22" s="50"/>
      <c r="DK22" s="50"/>
      <c r="DL22" s="50"/>
      <c r="DM22" s="50"/>
      <c r="DN22" s="50"/>
      <c r="DO22" s="50"/>
      <c r="DP22" s="50"/>
      <c r="DQ22" s="50"/>
      <c r="DR22" s="50"/>
      <c r="DS22" s="50"/>
      <c r="DT22" s="50"/>
      <c r="DU22" s="50"/>
      <c r="DV22" s="50"/>
      <c r="DW22" s="50"/>
      <c r="DX22" s="50"/>
      <c r="DY22" s="50"/>
      <c r="DZ22" s="50"/>
      <c r="EA22" s="50"/>
      <c r="EB22" s="50"/>
      <c r="EC22" s="50"/>
      <c r="ED22" s="50"/>
      <c r="EE22" s="50"/>
      <c r="EF22" s="50"/>
      <c r="EG22" s="50"/>
      <c r="EH22" s="50"/>
      <c r="EI22" s="50"/>
      <c r="EJ22" s="50"/>
      <c r="EK22" s="50"/>
      <c r="EL22" s="50"/>
      <c r="EM22" s="50"/>
    </row>
    <row r="23" spans="1:143" s="17" customFormat="1" ht="13.5" customHeight="1">
      <c r="A23" s="227"/>
      <c r="B23" s="238"/>
      <c r="C23" s="216" t="s">
        <v>125</v>
      </c>
      <c r="D23" s="217"/>
      <c r="E23" s="217"/>
      <c r="F23" s="217"/>
      <c r="G23" s="273"/>
      <c r="H23" s="110"/>
      <c r="I23" s="87"/>
      <c r="J23" s="87"/>
      <c r="K23" s="87"/>
      <c r="L23" s="87"/>
      <c r="M23" s="87"/>
      <c r="N23" s="87"/>
      <c r="O23" s="87"/>
      <c r="P23" s="87"/>
      <c r="Q23" s="87"/>
      <c r="R23" s="81"/>
      <c r="S23" s="87"/>
      <c r="T23" s="87"/>
      <c r="U23" s="82"/>
      <c r="V23" s="87"/>
      <c r="W23" s="87"/>
      <c r="X23" s="87"/>
      <c r="Y23" s="87"/>
      <c r="Z23" s="87"/>
      <c r="AA23" s="87"/>
      <c r="AB23" s="87"/>
      <c r="AC23" s="87"/>
      <c r="AD23" s="87"/>
      <c r="AE23" s="87"/>
      <c r="AF23" s="121"/>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50"/>
      <c r="DF23" s="50"/>
      <c r="DG23" s="50"/>
      <c r="DH23" s="50"/>
      <c r="DI23" s="50"/>
      <c r="DJ23" s="50"/>
      <c r="DK23" s="50"/>
      <c r="DL23" s="50"/>
      <c r="DM23" s="50"/>
      <c r="DN23" s="50"/>
      <c r="DO23" s="50"/>
      <c r="DP23" s="50"/>
      <c r="DQ23" s="50"/>
      <c r="DR23" s="50"/>
      <c r="DS23" s="50"/>
      <c r="DT23" s="50"/>
      <c r="DU23" s="50"/>
      <c r="DV23" s="50"/>
      <c r="DW23" s="50"/>
      <c r="DX23" s="50"/>
      <c r="DY23" s="50"/>
      <c r="DZ23" s="50"/>
      <c r="EA23" s="50"/>
      <c r="EB23" s="50"/>
      <c r="EC23" s="50"/>
      <c r="ED23" s="50"/>
      <c r="EE23" s="50"/>
      <c r="EF23" s="50"/>
      <c r="EG23" s="50"/>
      <c r="EH23" s="50"/>
      <c r="EI23" s="50"/>
      <c r="EJ23" s="50"/>
      <c r="EK23" s="50"/>
      <c r="EL23" s="50"/>
      <c r="EM23" s="50"/>
    </row>
    <row r="24" spans="1:143" s="17" customFormat="1" ht="13.5" customHeight="1">
      <c r="A24" s="227"/>
      <c r="B24" s="238"/>
      <c r="C24" s="99"/>
      <c r="D24" s="216" t="s">
        <v>301</v>
      </c>
      <c r="E24" s="217"/>
      <c r="F24" s="217"/>
      <c r="G24" s="273"/>
      <c r="H24" s="110"/>
      <c r="I24" s="87"/>
      <c r="J24" s="87"/>
      <c r="K24" s="87"/>
      <c r="L24" s="81" t="s">
        <v>80</v>
      </c>
      <c r="M24" s="87"/>
      <c r="N24" s="87"/>
      <c r="O24" s="87"/>
      <c r="P24" s="87"/>
      <c r="Q24" s="87"/>
      <c r="R24" s="81"/>
      <c r="S24" s="87"/>
      <c r="T24" s="87"/>
      <c r="U24" s="82"/>
      <c r="V24" s="87"/>
      <c r="W24" s="87"/>
      <c r="X24" s="87"/>
      <c r="Y24" s="87"/>
      <c r="Z24" s="87"/>
      <c r="AA24" s="87"/>
      <c r="AB24" s="87"/>
      <c r="AC24" s="87"/>
      <c r="AD24" s="87"/>
      <c r="AE24" s="87"/>
      <c r="AF24" s="121"/>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50"/>
      <c r="DF24" s="50"/>
      <c r="DG24" s="50"/>
      <c r="DH24" s="50"/>
      <c r="DI24" s="50"/>
      <c r="DJ24" s="50"/>
      <c r="DK24" s="50"/>
      <c r="DL24" s="50"/>
      <c r="DM24" s="50"/>
      <c r="DN24" s="50"/>
      <c r="DO24" s="50"/>
      <c r="DP24" s="50"/>
      <c r="DQ24" s="50"/>
      <c r="DR24" s="50"/>
      <c r="DS24" s="50"/>
      <c r="DT24" s="50"/>
      <c r="DU24" s="50"/>
      <c r="DV24" s="50"/>
      <c r="DW24" s="50"/>
      <c r="DX24" s="50"/>
      <c r="DY24" s="50"/>
      <c r="DZ24" s="50"/>
      <c r="EA24" s="50"/>
      <c r="EB24" s="50"/>
      <c r="EC24" s="50"/>
      <c r="ED24" s="50"/>
      <c r="EE24" s="50"/>
      <c r="EF24" s="50"/>
      <c r="EG24" s="50"/>
      <c r="EH24" s="50"/>
      <c r="EI24" s="50"/>
      <c r="EJ24" s="50"/>
      <c r="EK24" s="50"/>
      <c r="EL24" s="50"/>
      <c r="EM24" s="50"/>
    </row>
    <row r="25" spans="1:143" s="17" customFormat="1" ht="13.5" customHeight="1">
      <c r="A25" s="227"/>
      <c r="B25" s="238"/>
      <c r="C25" s="216" t="s">
        <v>77</v>
      </c>
      <c r="D25" s="217"/>
      <c r="E25" s="217"/>
      <c r="F25" s="217"/>
      <c r="G25" s="273"/>
      <c r="H25" s="110"/>
      <c r="I25" s="87"/>
      <c r="J25" s="87"/>
      <c r="K25" s="87"/>
      <c r="L25" s="87"/>
      <c r="M25" s="81" t="s">
        <v>80</v>
      </c>
      <c r="N25" s="87"/>
      <c r="O25" s="87"/>
      <c r="P25" s="87"/>
      <c r="Q25" s="87"/>
      <c r="R25" s="87"/>
      <c r="S25" s="87"/>
      <c r="T25" s="87"/>
      <c r="U25" s="82"/>
      <c r="V25" s="87"/>
      <c r="W25" s="87"/>
      <c r="X25" s="87"/>
      <c r="Y25" s="87"/>
      <c r="Z25" s="87"/>
      <c r="AA25" s="87"/>
      <c r="AB25" s="87"/>
      <c r="AC25" s="87"/>
      <c r="AD25" s="87"/>
      <c r="AE25" s="87"/>
      <c r="AF25" s="121"/>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50"/>
      <c r="DF25" s="50"/>
      <c r="DG25" s="50"/>
      <c r="DH25" s="50"/>
      <c r="DI25" s="50"/>
      <c r="DJ25" s="50"/>
      <c r="DK25" s="50"/>
      <c r="DL25" s="50"/>
      <c r="DM25" s="50"/>
      <c r="DN25" s="50"/>
      <c r="DO25" s="50"/>
      <c r="DP25" s="50"/>
      <c r="DQ25" s="50"/>
      <c r="DR25" s="50"/>
      <c r="DS25" s="50"/>
      <c r="DT25" s="50"/>
      <c r="DU25" s="50"/>
      <c r="DV25" s="50"/>
      <c r="DW25" s="50"/>
      <c r="DX25" s="50"/>
      <c r="DY25" s="50"/>
      <c r="DZ25" s="50"/>
      <c r="EA25" s="50"/>
      <c r="EB25" s="50"/>
      <c r="EC25" s="50"/>
      <c r="ED25" s="50"/>
      <c r="EE25" s="50"/>
      <c r="EF25" s="50"/>
      <c r="EG25" s="50"/>
      <c r="EH25" s="50"/>
      <c r="EI25" s="50"/>
      <c r="EJ25" s="50"/>
      <c r="EK25" s="50"/>
      <c r="EL25" s="50"/>
      <c r="EM25" s="50"/>
    </row>
    <row r="26" spans="1:143" s="17" customFormat="1" ht="13.5" customHeight="1">
      <c r="A26" s="227"/>
      <c r="B26" s="238"/>
      <c r="C26" s="99"/>
      <c r="D26" s="216" t="s">
        <v>301</v>
      </c>
      <c r="E26" s="217"/>
      <c r="F26" s="217"/>
      <c r="G26" s="273"/>
      <c r="H26" s="110"/>
      <c r="I26" s="23"/>
      <c r="J26" s="23"/>
      <c r="K26" s="23"/>
      <c r="L26" s="23"/>
      <c r="M26" s="23"/>
      <c r="N26" s="23"/>
      <c r="O26" s="23"/>
      <c r="P26" s="23"/>
      <c r="Q26" s="23"/>
      <c r="R26" s="23"/>
      <c r="S26" s="81"/>
      <c r="T26" s="23"/>
      <c r="U26" s="82"/>
      <c r="V26" s="23"/>
      <c r="W26" s="23"/>
      <c r="X26" s="23"/>
      <c r="Y26" s="23"/>
      <c r="Z26" s="23"/>
      <c r="AA26" s="23"/>
      <c r="AB26" s="23"/>
      <c r="AC26" s="23"/>
      <c r="AD26" s="23"/>
      <c r="AE26" s="23"/>
      <c r="AF26" s="23"/>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50"/>
      <c r="DF26" s="50"/>
      <c r="DG26" s="50"/>
      <c r="DH26" s="50"/>
      <c r="DI26" s="50"/>
      <c r="DJ26" s="50"/>
      <c r="DK26" s="50"/>
      <c r="DL26" s="50"/>
      <c r="DM26" s="50"/>
      <c r="DN26" s="50"/>
      <c r="DO26" s="50"/>
      <c r="DP26" s="50"/>
      <c r="DQ26" s="50"/>
      <c r="DR26" s="50"/>
      <c r="DS26" s="50"/>
      <c r="DT26" s="50"/>
      <c r="DU26" s="50"/>
      <c r="DV26" s="50"/>
      <c r="DW26" s="50"/>
      <c r="DX26" s="50"/>
      <c r="DY26" s="50"/>
      <c r="DZ26" s="50"/>
      <c r="EA26" s="50"/>
      <c r="EB26" s="50"/>
      <c r="EC26" s="50"/>
      <c r="ED26" s="50"/>
      <c r="EE26" s="50"/>
      <c r="EF26" s="50"/>
      <c r="EG26" s="50"/>
      <c r="EH26" s="50"/>
      <c r="EI26" s="50"/>
      <c r="EJ26" s="50"/>
      <c r="EK26" s="50"/>
      <c r="EL26" s="50"/>
      <c r="EM26" s="50"/>
    </row>
    <row r="27" spans="1:143" s="17" customFormat="1" ht="13.5" customHeight="1">
      <c r="A27" s="227"/>
      <c r="B27" s="238"/>
      <c r="C27" s="216" t="s">
        <v>128</v>
      </c>
      <c r="D27" s="217"/>
      <c r="E27" s="217"/>
      <c r="F27" s="217"/>
      <c r="G27" s="273"/>
      <c r="H27" s="112"/>
      <c r="I27" s="23"/>
      <c r="J27" s="23"/>
      <c r="K27" s="23"/>
      <c r="L27" s="23"/>
      <c r="M27" s="23"/>
      <c r="N27" s="23"/>
      <c r="O27" s="23"/>
      <c r="P27" s="23"/>
      <c r="Q27" s="23"/>
      <c r="R27" s="23"/>
      <c r="S27" s="23"/>
      <c r="T27" s="23"/>
      <c r="U27" s="82"/>
      <c r="V27" s="23"/>
      <c r="W27" s="23"/>
      <c r="X27" s="23"/>
      <c r="Y27" s="23"/>
      <c r="Z27" s="23"/>
      <c r="AA27" s="23"/>
      <c r="AB27" s="23"/>
      <c r="AC27" s="23"/>
      <c r="AD27" s="23"/>
      <c r="AE27" s="23"/>
      <c r="AF27" s="23"/>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50"/>
      <c r="DF27" s="50"/>
      <c r="DG27" s="50"/>
      <c r="DH27" s="50"/>
      <c r="DI27" s="50"/>
      <c r="DJ27" s="50"/>
      <c r="DK27" s="50"/>
      <c r="DL27" s="50"/>
      <c r="DM27" s="50"/>
      <c r="DN27" s="50"/>
      <c r="DO27" s="50"/>
      <c r="DP27" s="50"/>
      <c r="DQ27" s="50"/>
      <c r="DR27" s="50"/>
      <c r="DS27" s="50"/>
      <c r="DT27" s="50"/>
      <c r="DU27" s="50"/>
      <c r="DV27" s="50"/>
      <c r="DW27" s="50"/>
      <c r="DX27" s="50"/>
      <c r="DY27" s="50"/>
      <c r="DZ27" s="50"/>
      <c r="EA27" s="50"/>
      <c r="EB27" s="50"/>
      <c r="EC27" s="50"/>
      <c r="ED27" s="50"/>
      <c r="EE27" s="50"/>
      <c r="EF27" s="50"/>
      <c r="EG27" s="50"/>
      <c r="EH27" s="50"/>
      <c r="EI27" s="50"/>
      <c r="EJ27" s="50"/>
      <c r="EK27" s="50"/>
      <c r="EL27" s="50"/>
      <c r="EM27" s="50"/>
    </row>
    <row r="28" spans="1:143" s="17" customFormat="1" ht="13.5" customHeight="1">
      <c r="A28" s="227"/>
      <c r="B28" s="238"/>
      <c r="C28" s="216" t="s">
        <v>129</v>
      </c>
      <c r="D28" s="217"/>
      <c r="E28" s="217"/>
      <c r="F28" s="217"/>
      <c r="G28" s="273"/>
      <c r="H28" s="113"/>
      <c r="I28" s="23"/>
      <c r="J28" s="23"/>
      <c r="K28" s="23"/>
      <c r="L28" s="23"/>
      <c r="M28" s="23"/>
      <c r="N28" s="23"/>
      <c r="O28" s="23"/>
      <c r="P28" s="23"/>
      <c r="Q28" s="23"/>
      <c r="R28" s="23"/>
      <c r="S28" s="23"/>
      <c r="T28" s="81"/>
      <c r="U28" s="82"/>
      <c r="V28" s="81"/>
      <c r="W28" s="81"/>
      <c r="X28" s="81"/>
      <c r="Y28" s="81"/>
      <c r="Z28" s="23"/>
      <c r="AA28" s="23"/>
      <c r="AB28" s="23"/>
      <c r="AC28" s="23"/>
      <c r="AD28" s="23"/>
      <c r="AE28" s="23"/>
      <c r="AF28" s="23"/>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50"/>
      <c r="DF28" s="50"/>
      <c r="DG28" s="50"/>
      <c r="DH28" s="50"/>
      <c r="DI28" s="50"/>
      <c r="DJ28" s="50"/>
      <c r="DK28" s="50"/>
      <c r="DL28" s="50"/>
      <c r="DM28" s="50"/>
      <c r="DN28" s="50"/>
      <c r="DO28" s="50"/>
      <c r="DP28" s="50"/>
      <c r="DQ28" s="50"/>
      <c r="DR28" s="50"/>
      <c r="DS28" s="50"/>
      <c r="DT28" s="50"/>
      <c r="DU28" s="50"/>
      <c r="DV28" s="50"/>
      <c r="DW28" s="50"/>
      <c r="DX28" s="50"/>
      <c r="DY28" s="50"/>
      <c r="DZ28" s="50"/>
      <c r="EA28" s="50"/>
      <c r="EB28" s="50"/>
      <c r="EC28" s="50"/>
      <c r="ED28" s="50"/>
      <c r="EE28" s="50"/>
      <c r="EF28" s="50"/>
      <c r="EG28" s="50"/>
      <c r="EH28" s="50"/>
      <c r="EI28" s="50"/>
      <c r="EJ28" s="50"/>
      <c r="EK28" s="50"/>
      <c r="EL28" s="50"/>
      <c r="EM28" s="50"/>
    </row>
    <row r="29" spans="1:143" s="17" customFormat="1" ht="13.5" customHeight="1" thickBot="1">
      <c r="A29" s="227"/>
      <c r="B29" s="238"/>
      <c r="C29" s="107"/>
      <c r="D29" s="214" t="s">
        <v>300</v>
      </c>
      <c r="E29" s="215"/>
      <c r="F29" s="215"/>
      <c r="G29" s="312"/>
      <c r="H29" s="114"/>
      <c r="I29" s="30"/>
      <c r="J29" s="30"/>
      <c r="K29" s="30"/>
      <c r="L29" s="30"/>
      <c r="M29" s="30"/>
      <c r="N29" s="81" t="s">
        <v>80</v>
      </c>
      <c r="O29" s="30"/>
      <c r="P29" s="30"/>
      <c r="Q29" s="30"/>
      <c r="R29" s="30"/>
      <c r="S29" s="30"/>
      <c r="T29" s="30"/>
      <c r="U29" s="30"/>
      <c r="V29" s="30"/>
      <c r="W29" s="30"/>
      <c r="X29" s="30"/>
      <c r="Y29" s="30"/>
      <c r="Z29" s="30"/>
      <c r="AA29" s="30"/>
      <c r="AB29" s="30"/>
      <c r="AC29" s="30"/>
      <c r="AD29" s="30"/>
      <c r="AE29" s="30"/>
      <c r="AF29" s="3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50"/>
      <c r="DF29" s="50"/>
      <c r="DG29" s="50"/>
      <c r="DH29" s="50"/>
      <c r="DI29" s="50"/>
      <c r="DJ29" s="50"/>
      <c r="DK29" s="50"/>
      <c r="DL29" s="50"/>
      <c r="DM29" s="50"/>
      <c r="DN29" s="50"/>
      <c r="DO29" s="50"/>
      <c r="DP29" s="50"/>
      <c r="DQ29" s="50"/>
      <c r="DR29" s="50"/>
      <c r="DS29" s="50"/>
      <c r="DT29" s="50"/>
      <c r="DU29" s="50"/>
      <c r="DV29" s="50"/>
      <c r="DW29" s="50"/>
      <c r="DX29" s="50"/>
      <c r="DY29" s="50"/>
      <c r="DZ29" s="50"/>
      <c r="EA29" s="50"/>
      <c r="EB29" s="50"/>
      <c r="EC29" s="50"/>
      <c r="ED29" s="50"/>
      <c r="EE29" s="50"/>
      <c r="EF29" s="50"/>
      <c r="EG29" s="50"/>
      <c r="EH29" s="50"/>
      <c r="EI29" s="50"/>
      <c r="EJ29" s="50"/>
      <c r="EK29" s="50"/>
      <c r="EL29" s="50"/>
      <c r="EM29" s="50"/>
    </row>
    <row r="30" spans="1:143" s="17" customFormat="1" ht="24" customHeight="1">
      <c r="A30" s="218" t="s">
        <v>155</v>
      </c>
      <c r="B30" s="220"/>
      <c r="C30" s="221"/>
      <c r="D30" s="221"/>
      <c r="E30" s="221"/>
      <c r="F30" s="222"/>
      <c r="G30" s="35" t="s">
        <v>154</v>
      </c>
      <c r="H30" s="36" t="s">
        <v>81</v>
      </c>
      <c r="I30" s="37" t="s">
        <v>81</v>
      </c>
      <c r="J30" s="37" t="s">
        <v>81</v>
      </c>
      <c r="K30" s="37" t="s">
        <v>81</v>
      </c>
      <c r="L30" s="37" t="s">
        <v>81</v>
      </c>
      <c r="M30" s="37" t="s">
        <v>81</v>
      </c>
      <c r="N30" s="37" t="s">
        <v>82</v>
      </c>
      <c r="O30" s="37"/>
      <c r="P30" s="37"/>
      <c r="Q30" s="37"/>
      <c r="R30" s="37"/>
      <c r="S30" s="37"/>
      <c r="T30" s="37"/>
      <c r="U30" s="37"/>
      <c r="V30" s="37"/>
      <c r="W30" s="37"/>
      <c r="X30" s="37"/>
      <c r="Y30" s="37"/>
      <c r="Z30" s="37"/>
      <c r="AA30" s="37"/>
      <c r="AB30" s="37"/>
      <c r="AC30" s="37"/>
      <c r="AD30" s="37"/>
      <c r="AE30" s="37"/>
      <c r="AF30" s="38"/>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50"/>
      <c r="DF30" s="50"/>
      <c r="DG30" s="50"/>
      <c r="DH30" s="50"/>
      <c r="DI30" s="50"/>
      <c r="DJ30" s="50"/>
      <c r="DK30" s="50"/>
      <c r="DL30" s="50"/>
      <c r="DM30" s="50"/>
      <c r="DN30" s="50"/>
      <c r="DO30" s="50"/>
      <c r="DP30" s="50"/>
      <c r="DQ30" s="50"/>
      <c r="DR30" s="50"/>
      <c r="DS30" s="50"/>
      <c r="DT30" s="50"/>
      <c r="DU30" s="50"/>
      <c r="DV30" s="50"/>
      <c r="DW30" s="50"/>
      <c r="DX30" s="50"/>
      <c r="DY30" s="50"/>
      <c r="DZ30" s="50"/>
      <c r="EA30" s="50"/>
      <c r="EB30" s="50"/>
      <c r="EC30" s="50"/>
      <c r="ED30" s="50"/>
      <c r="EE30" s="50"/>
      <c r="EF30" s="50"/>
      <c r="EG30" s="50"/>
      <c r="EH30" s="50"/>
      <c r="EI30" s="50"/>
      <c r="EJ30" s="50"/>
      <c r="EK30" s="50"/>
      <c r="EL30" s="50"/>
      <c r="EM30" s="50"/>
    </row>
    <row r="31" spans="1:143" s="17" customFormat="1" ht="27" customHeight="1">
      <c r="A31" s="219"/>
      <c r="B31" s="223"/>
      <c r="C31" s="224"/>
      <c r="D31" s="224"/>
      <c r="E31" s="224"/>
      <c r="F31" s="225"/>
      <c r="G31" s="39" t="s">
        <v>152</v>
      </c>
      <c r="H31" s="40"/>
      <c r="I31" s="94"/>
      <c r="J31" s="94"/>
      <c r="K31" s="94"/>
      <c r="L31" s="94"/>
      <c r="M31" s="94"/>
      <c r="N31" s="94"/>
      <c r="O31" s="94"/>
      <c r="P31" s="94"/>
      <c r="Q31" s="94"/>
      <c r="R31" s="94"/>
      <c r="S31" s="94"/>
      <c r="T31" s="94"/>
      <c r="U31" s="94"/>
      <c r="V31" s="94"/>
      <c r="W31" s="94"/>
      <c r="X31" s="94"/>
      <c r="Y31" s="94"/>
      <c r="Z31" s="94"/>
      <c r="AA31" s="94"/>
      <c r="AB31" s="94"/>
      <c r="AC31" s="94"/>
      <c r="AD31" s="94"/>
      <c r="AE31" s="94"/>
      <c r="AF31" s="42"/>
    </row>
    <row r="32" spans="1:143" s="17" customFormat="1" ht="27" customHeight="1">
      <c r="A32" s="219"/>
      <c r="B32" s="223"/>
      <c r="C32" s="224"/>
      <c r="D32" s="224"/>
      <c r="E32" s="224"/>
      <c r="F32" s="225"/>
      <c r="G32" s="39" t="s">
        <v>151</v>
      </c>
      <c r="H32" s="43"/>
      <c r="I32" s="44"/>
      <c r="J32" s="44"/>
      <c r="K32" s="44"/>
      <c r="L32" s="44"/>
      <c r="M32" s="44"/>
      <c r="N32" s="44"/>
      <c r="O32" s="44"/>
      <c r="P32" s="44"/>
      <c r="Q32" s="44"/>
      <c r="R32" s="44"/>
      <c r="S32" s="44"/>
      <c r="T32" s="44"/>
      <c r="U32" s="44"/>
      <c r="V32" s="44"/>
      <c r="W32" s="44"/>
      <c r="X32" s="44"/>
      <c r="Y32" s="44"/>
      <c r="Z32" s="44"/>
      <c r="AA32" s="44"/>
      <c r="AB32" s="44"/>
      <c r="AC32" s="44"/>
      <c r="AD32" s="44"/>
      <c r="AE32" s="44"/>
      <c r="AF32" s="45"/>
    </row>
    <row r="33" spans="1:32" s="17" customFormat="1" ht="24.75" customHeight="1">
      <c r="A33" s="219"/>
      <c r="B33" s="223"/>
      <c r="C33" s="224"/>
      <c r="D33" s="224"/>
      <c r="E33" s="224"/>
      <c r="F33" s="225"/>
      <c r="G33" s="134" t="s">
        <v>150</v>
      </c>
      <c r="H33" s="40"/>
      <c r="I33" s="94"/>
      <c r="J33" s="94"/>
      <c r="K33" s="94"/>
      <c r="L33" s="94"/>
      <c r="M33" s="94"/>
      <c r="N33" s="94"/>
      <c r="O33" s="94"/>
      <c r="P33" s="94"/>
      <c r="Q33" s="94"/>
      <c r="R33" s="94"/>
      <c r="S33" s="94"/>
      <c r="T33" s="94"/>
      <c r="U33" s="94"/>
      <c r="V33" s="94"/>
      <c r="W33" s="94"/>
      <c r="X33" s="94"/>
      <c r="Y33" s="94"/>
      <c r="Z33" s="94"/>
      <c r="AA33" s="94"/>
      <c r="AB33" s="94"/>
      <c r="AC33" s="94"/>
      <c r="AD33" s="94"/>
      <c r="AE33" s="94"/>
      <c r="AF33" s="42"/>
    </row>
    <row r="34" spans="1:32" s="17" customFormat="1" ht="24.75" customHeight="1">
      <c r="A34" s="258" t="s">
        <v>149</v>
      </c>
      <c r="B34" s="260" t="s">
        <v>148</v>
      </c>
      <c r="C34" s="260"/>
      <c r="D34" s="260"/>
      <c r="E34" s="260"/>
      <c r="F34" s="261"/>
      <c r="G34" s="262"/>
      <c r="H34" s="60"/>
      <c r="I34" s="53"/>
      <c r="J34" s="53"/>
      <c r="K34" s="53"/>
      <c r="L34" s="53"/>
      <c r="M34" s="53"/>
      <c r="N34" s="53"/>
      <c r="O34" s="53"/>
      <c r="P34" s="53"/>
      <c r="Q34" s="53"/>
      <c r="R34" s="53"/>
      <c r="S34" s="53"/>
      <c r="T34" s="53"/>
      <c r="U34" s="53"/>
      <c r="V34" s="53"/>
      <c r="W34" s="53"/>
      <c r="X34" s="53"/>
      <c r="Y34" s="53"/>
      <c r="Z34" s="53"/>
      <c r="AA34" s="53"/>
      <c r="AB34" s="53"/>
      <c r="AC34" s="53"/>
      <c r="AD34" s="53"/>
      <c r="AE34" s="53"/>
      <c r="AF34" s="54"/>
    </row>
    <row r="35" spans="1:32" s="17" customFormat="1" ht="36" customHeight="1" thickBot="1">
      <c r="A35" s="259"/>
      <c r="B35" s="246" t="s">
        <v>147</v>
      </c>
      <c r="C35" s="247"/>
      <c r="D35" s="247"/>
      <c r="E35" s="248"/>
      <c r="F35" s="246"/>
      <c r="G35" s="263"/>
      <c r="H35" s="61"/>
      <c r="I35" s="55"/>
      <c r="J35" s="55"/>
      <c r="K35" s="55"/>
      <c r="L35" s="55"/>
      <c r="M35" s="55"/>
      <c r="N35" s="55"/>
      <c r="O35" s="55"/>
      <c r="P35" s="55"/>
      <c r="Q35" s="55"/>
      <c r="R35" s="55"/>
      <c r="S35" s="55" t="str">
        <f t="shared" ref="S35:AF35" si="1">IF(S34="","",(SUM(LEN(S34)-LEN(SUBSTITUTE(S34,",","")))/LEN(",")) + 1 )</f>
        <v/>
      </c>
      <c r="T35" s="55" t="str">
        <f t="shared" si="1"/>
        <v/>
      </c>
      <c r="U35" s="55" t="str">
        <f t="shared" si="1"/>
        <v/>
      </c>
      <c r="V35" s="55" t="str">
        <f t="shared" si="1"/>
        <v/>
      </c>
      <c r="W35" s="55" t="str">
        <f t="shared" si="1"/>
        <v/>
      </c>
      <c r="X35" s="55" t="str">
        <f t="shared" si="1"/>
        <v/>
      </c>
      <c r="Y35" s="55" t="str">
        <f t="shared" si="1"/>
        <v/>
      </c>
      <c r="Z35" s="55" t="str">
        <f t="shared" si="1"/>
        <v/>
      </c>
      <c r="AA35" s="55" t="str">
        <f t="shared" si="1"/>
        <v/>
      </c>
      <c r="AB35" s="55" t="str">
        <f t="shared" si="1"/>
        <v/>
      </c>
      <c r="AC35" s="55" t="str">
        <f t="shared" si="1"/>
        <v/>
      </c>
      <c r="AD35" s="55" t="str">
        <f t="shared" si="1"/>
        <v/>
      </c>
      <c r="AE35" s="55" t="str">
        <f t="shared" si="1"/>
        <v/>
      </c>
      <c r="AF35" s="56" t="str">
        <f t="shared" si="1"/>
        <v/>
      </c>
    </row>
    <row r="36" spans="1:32" s="17" customFormat="1">
      <c r="H36" s="47"/>
      <c r="I36" s="47"/>
      <c r="J36" s="47"/>
      <c r="K36" s="47"/>
      <c r="L36" s="47"/>
      <c r="M36" s="47"/>
      <c r="N36" s="48"/>
      <c r="O36" s="49"/>
      <c r="P36" s="47"/>
      <c r="Q36" s="47"/>
      <c r="R36" s="47"/>
      <c r="S36" s="47"/>
      <c r="T36" s="47"/>
      <c r="U36" s="47"/>
      <c r="V36" s="47"/>
    </row>
  </sheetData>
  <sheetProtection insertRows="0"/>
  <protectedRanges>
    <protectedRange sqref="C14:G14 B4:G4 B14:B29" name="Range2_1"/>
    <protectedRange sqref="H30:AF34" name="Range3_1_1"/>
    <protectedRange sqref="J27:S27 N8:N9 M8 H13:H17 N21:Q26 R21:R22 S21:S25 J23:M23 H4:Y4 V7:Y12 N13:S17 R25:R26 H28:S28 K7:T7 H19:S19 J20:S20 H20:H21 T14:T27 V14:Y27 I21 Z4:AF29 I8:K15 O8:T12 H23:I27 L21:M21 M10:M17 L9:L17 I17:K17 I16:J16 J26:M26 J24:K24 M24 J25:L25 H29:M29 O29:Y29" name="Range2_1_1"/>
    <protectedRange sqref="B5:G10 B11:B13" name="Range2_1_12_1"/>
    <protectedRange sqref="D17:G19 D22:G27 C17:C27 C11:G12 C15:G16" name="Range2_1_12_2"/>
    <protectedRange sqref="D20:G21" name="Range2_1_6_1"/>
    <protectedRange sqref="C28:G28" name="Range2_1_12"/>
    <protectedRange sqref="C29:G29" name="Range2_1_14"/>
    <protectedRange sqref="L6 O5:T6 V5:Y6" name="Range2_1_2_9_1"/>
    <protectedRange sqref="H6 I7 I20 H22:K22 J21 H5:N5" name="Range2_1_2_9_2"/>
    <protectedRange sqref="I6 V13:Y13 L8 V28:Y28 J7 M9 T28 H7:H12 N10:N12 K21 T13 R23:R24 S26 K16 H18:S18 L22:M22 L24 M25 N29" name="Range2_1_2_9_3"/>
    <protectedRange sqref="J6 M6" name="Range2_1_2_9_4"/>
    <protectedRange sqref="K6 N6" name="Range2_1_2_9_5"/>
    <protectedRange sqref="B1:O2 P2 T1 AC1:AF2" name="Range1_1_1"/>
  </protectedRanges>
  <mergeCells count="52">
    <mergeCell ref="C22:G22"/>
    <mergeCell ref="C25:G25"/>
    <mergeCell ref="D24:G24"/>
    <mergeCell ref="C13:G13"/>
    <mergeCell ref="D21:G21"/>
    <mergeCell ref="D20:G20"/>
    <mergeCell ref="C17:G17"/>
    <mergeCell ref="C15:G15"/>
    <mergeCell ref="D16:G16"/>
    <mergeCell ref="A34:A35"/>
    <mergeCell ref="B34:E34"/>
    <mergeCell ref="F34:G34"/>
    <mergeCell ref="B35:E35"/>
    <mergeCell ref="F35:G35"/>
    <mergeCell ref="A14:A29"/>
    <mergeCell ref="B14:G14"/>
    <mergeCell ref="C20:C21"/>
    <mergeCell ref="D29:G29"/>
    <mergeCell ref="A30:A33"/>
    <mergeCell ref="B30:F30"/>
    <mergeCell ref="B31:F31"/>
    <mergeCell ref="B32:F32"/>
    <mergeCell ref="B33:F33"/>
    <mergeCell ref="B17:B29"/>
    <mergeCell ref="C28:G28"/>
    <mergeCell ref="C27:G27"/>
    <mergeCell ref="D18:G18"/>
    <mergeCell ref="C19:G19"/>
    <mergeCell ref="C23:G23"/>
    <mergeCell ref="D26:G26"/>
    <mergeCell ref="P1:S1"/>
    <mergeCell ref="T1:Z1"/>
    <mergeCell ref="AA1:AB1"/>
    <mergeCell ref="AC1:AF1"/>
    <mergeCell ref="B1:E1"/>
    <mergeCell ref="F1:O1"/>
    <mergeCell ref="AC2:AF2"/>
    <mergeCell ref="A4:A13"/>
    <mergeCell ref="B4:G4"/>
    <mergeCell ref="F2:H2"/>
    <mergeCell ref="P2:Z2"/>
    <mergeCell ref="AA2:AB2"/>
    <mergeCell ref="B2:E2"/>
    <mergeCell ref="I2:O2"/>
    <mergeCell ref="B5:G5"/>
    <mergeCell ref="C11:G11"/>
    <mergeCell ref="C6:G6"/>
    <mergeCell ref="C7:G7"/>
    <mergeCell ref="C8:G8"/>
    <mergeCell ref="C9:G9"/>
    <mergeCell ref="C12:G12"/>
    <mergeCell ref="D10:G10"/>
  </mergeCells>
  <conditionalFormatting sqref="H13:S17 K7:L7 N7:N9 Z3:AF35 M7:M8 I7 I8:K12 H20 K22:K27 K20 H19:K19 R25:R27 R19:R22 S19:S25 O7:S12 T29:Y35 H3:Y4 V14:Y27 V7:Y12 S27 H21:I27 J20:J27 M10:M12 L9:L12 L19:Q27 H28:S35">
    <cfRule type="expression" dxfId="89" priority="46" stopIfTrue="1">
      <formula>H$33="NA"</formula>
    </cfRule>
    <cfRule type="expression" dxfId="88" priority="47" stopIfTrue="1">
      <formula>H$33="NG"</formula>
    </cfRule>
  </conditionalFormatting>
  <conditionalFormatting sqref="L8 H7:H12 J7 M9 N10:N12 K21 I20 R23:R24 S26:S27 H5:S6 V13:Y13 V5:Y6 V28:Y28 H18:S18">
    <cfRule type="expression" dxfId="87" priority="43" stopIfTrue="1">
      <formula>#REF!="NG"</formula>
    </cfRule>
    <cfRule type="expression" dxfId="86" priority="44" stopIfTrue="1">
      <formula>I$32="NA"</formula>
    </cfRule>
    <cfRule type="expression" dxfId="85" priority="45" stopIfTrue="1">
      <formula>I$32="NG"</formula>
    </cfRule>
  </conditionalFormatting>
  <conditionalFormatting sqref="T7:T12 T14:T27">
    <cfRule type="expression" dxfId="84" priority="41" stopIfTrue="1">
      <formula>U$33="NA"</formula>
    </cfRule>
    <cfRule type="expression" dxfId="83" priority="42" stopIfTrue="1">
      <formula>U$33="NG"</formula>
    </cfRule>
  </conditionalFormatting>
  <conditionalFormatting sqref="T13 T5:T6 T28">
    <cfRule type="expression" dxfId="82" priority="38" stopIfTrue="1">
      <formula>#REF!="NG"</formula>
    </cfRule>
    <cfRule type="expression" dxfId="81" priority="39" stopIfTrue="1">
      <formula>V$32="NA"</formula>
    </cfRule>
    <cfRule type="expression" dxfId="80" priority="40" stopIfTrue="1">
      <formula>V$32="NG"</formula>
    </cfRule>
  </conditionalFormatting>
  <conditionalFormatting sqref="I7">
    <cfRule type="expression" dxfId="79" priority="35" stopIfTrue="1">
      <formula>#REF!="NG"</formula>
    </cfRule>
    <cfRule type="expression" dxfId="78" priority="36" stopIfTrue="1">
      <formula>J$32="NA"</formula>
    </cfRule>
    <cfRule type="expression" dxfId="77" priority="37" stopIfTrue="1">
      <formula>J$32="NG"</formula>
    </cfRule>
  </conditionalFormatting>
  <conditionalFormatting sqref="I20">
    <cfRule type="expression" dxfId="76" priority="33" stopIfTrue="1">
      <formula>I$33="NA"</formula>
    </cfRule>
    <cfRule type="expression" dxfId="75" priority="34" stopIfTrue="1">
      <formula>I$33="NG"</formula>
    </cfRule>
  </conditionalFormatting>
  <conditionalFormatting sqref="I20">
    <cfRule type="expression" dxfId="74" priority="30" stopIfTrue="1">
      <formula>#REF!="NG"</formula>
    </cfRule>
    <cfRule type="expression" dxfId="73" priority="31" stopIfTrue="1">
      <formula>J$32="NA"</formula>
    </cfRule>
    <cfRule type="expression" dxfId="72" priority="32" stopIfTrue="1">
      <formula>J$32="NG"</formula>
    </cfRule>
  </conditionalFormatting>
  <conditionalFormatting sqref="H22">
    <cfRule type="expression" dxfId="71" priority="27" stopIfTrue="1">
      <formula>#REF!="NG"</formula>
    </cfRule>
    <cfRule type="expression" dxfId="70" priority="28" stopIfTrue="1">
      <formula>I$32="NA"</formula>
    </cfRule>
    <cfRule type="expression" dxfId="69" priority="29" stopIfTrue="1">
      <formula>I$32="NG"</formula>
    </cfRule>
  </conditionalFormatting>
  <conditionalFormatting sqref="I22:K22">
    <cfRule type="expression" dxfId="68" priority="24" stopIfTrue="1">
      <formula>#REF!="NG"</formula>
    </cfRule>
    <cfRule type="expression" dxfId="67" priority="25" stopIfTrue="1">
      <formula>J$32="NA"</formula>
    </cfRule>
    <cfRule type="expression" dxfId="66" priority="26" stopIfTrue="1">
      <formula>J$32="NG"</formula>
    </cfRule>
  </conditionalFormatting>
  <conditionalFormatting sqref="J21">
    <cfRule type="expression" dxfId="65" priority="21" stopIfTrue="1">
      <formula>#REF!="NG"</formula>
    </cfRule>
    <cfRule type="expression" dxfId="64" priority="22" stopIfTrue="1">
      <formula>K$32="NA"</formula>
    </cfRule>
    <cfRule type="expression" dxfId="63" priority="23" stopIfTrue="1">
      <formula>K$32="NG"</formula>
    </cfRule>
  </conditionalFormatting>
  <conditionalFormatting sqref="K16">
    <cfRule type="expression" dxfId="62" priority="18" stopIfTrue="1">
      <formula>#REF!="NG"</formula>
    </cfRule>
    <cfRule type="expression" dxfId="61" priority="19" stopIfTrue="1">
      <formula>L$32="NA"</formula>
    </cfRule>
    <cfRule type="expression" dxfId="60" priority="20" stopIfTrue="1">
      <formula>L$32="NG"</formula>
    </cfRule>
  </conditionalFormatting>
  <conditionalFormatting sqref="L22:M22">
    <cfRule type="expression" dxfId="59" priority="15" stopIfTrue="1">
      <formula>#REF!="NG"</formula>
    </cfRule>
    <cfRule type="expression" dxfId="58" priority="16" stopIfTrue="1">
      <formula>M$32="NA"</formula>
    </cfRule>
    <cfRule type="expression" dxfId="57" priority="17" stopIfTrue="1">
      <formula>M$32="NG"</formula>
    </cfRule>
  </conditionalFormatting>
  <conditionalFormatting sqref="L24">
    <cfRule type="expression" dxfId="56" priority="12" stopIfTrue="1">
      <formula>#REF!="NG"</formula>
    </cfRule>
    <cfRule type="expression" dxfId="55" priority="13" stopIfTrue="1">
      <formula>M$32="NA"</formula>
    </cfRule>
    <cfRule type="expression" dxfId="54" priority="14" stopIfTrue="1">
      <formula>M$32="NG"</formula>
    </cfRule>
  </conditionalFormatting>
  <conditionalFormatting sqref="M25">
    <cfRule type="expression" dxfId="53" priority="9" stopIfTrue="1">
      <formula>#REF!="NG"</formula>
    </cfRule>
    <cfRule type="expression" dxfId="52" priority="10" stopIfTrue="1">
      <formula>N$32="NA"</formula>
    </cfRule>
    <cfRule type="expression" dxfId="51" priority="11" stopIfTrue="1">
      <formula>N$32="NG"</formula>
    </cfRule>
  </conditionalFormatting>
  <conditionalFormatting sqref="N29">
    <cfRule type="expression" dxfId="50" priority="6" stopIfTrue="1">
      <formula>#REF!="NG"</formula>
    </cfRule>
    <cfRule type="expression" dxfId="49" priority="7" stopIfTrue="1">
      <formula>O$32="NA"</formula>
    </cfRule>
    <cfRule type="expression" dxfId="48" priority="8" stopIfTrue="1">
      <formula>O$32="NG"</formula>
    </cfRule>
  </conditionalFormatting>
  <conditionalFormatting sqref="H5:N5">
    <cfRule type="expression" dxfId="47" priority="4" stopIfTrue="1">
      <formula>H$33="NA"</formula>
    </cfRule>
    <cfRule type="expression" dxfId="46" priority="5" stopIfTrue="1">
      <formula>H$33="NG"</formula>
    </cfRule>
  </conditionalFormatting>
  <conditionalFormatting sqref="H5:N5">
    <cfRule type="expression" dxfId="45" priority="1" stopIfTrue="1">
      <formula>#REF!="NG"</formula>
    </cfRule>
    <cfRule type="expression" dxfId="44" priority="2" stopIfTrue="1">
      <formula>I$32="NA"</formula>
    </cfRule>
    <cfRule type="expression" dxfId="43" priority="3" stopIfTrue="1">
      <formula>I$32="NG"</formula>
    </cfRule>
  </conditionalFormatting>
  <dataValidations count="10">
    <dataValidation allowBlank="1" showInputMessage="1" showErrorMessage="1" promptTitle="Input conditions" prompt="that need to be checked." sqref="A4:A13 IW4:IW13 SS4:SS13 ACO4:ACO13 AMK4:AMK13 AWG4:AWG13 BGC4:BGC13 BPY4:BPY13 BZU4:BZU13 CJQ4:CJQ13 CTM4:CTM13 DDI4:DDI13 DNE4:DNE13 DXA4:DXA13 EGW4:EGW13 EQS4:EQS13 FAO4:FAO13 FKK4:FKK13 FUG4:FUG13 GEC4:GEC13 GNY4:GNY13 GXU4:GXU13 HHQ4:HHQ13 HRM4:HRM13 IBI4:IBI13 ILE4:ILE13 IVA4:IVA13 JEW4:JEW13 JOS4:JOS13 JYO4:JYO13 KIK4:KIK13 KSG4:KSG13 LCC4:LCC13 LLY4:LLY13 LVU4:LVU13 MFQ4:MFQ13 MPM4:MPM13 MZI4:MZI13 NJE4:NJE13 NTA4:NTA13 OCW4:OCW13 OMS4:OMS13 OWO4:OWO13 PGK4:PGK13 PQG4:PQG13 QAC4:QAC13 QJY4:QJY13 QTU4:QTU13 RDQ4:RDQ13 RNM4:RNM13 RXI4:RXI13 SHE4:SHE13 SRA4:SRA13 TAW4:TAW13 TKS4:TKS13 TUO4:TUO13 UEK4:UEK13 UOG4:UOG13 UYC4:UYC13 VHY4:VHY13 VRU4:VRU13 WBQ4:WBQ13 WLM4:WLM13 WVI4:WVI13 A65540:A65549 IW65540:IW65549 SS65540:SS65549 ACO65540:ACO65549 AMK65540:AMK65549 AWG65540:AWG65549 BGC65540:BGC65549 BPY65540:BPY65549 BZU65540:BZU65549 CJQ65540:CJQ65549 CTM65540:CTM65549 DDI65540:DDI65549 DNE65540:DNE65549 DXA65540:DXA65549 EGW65540:EGW65549 EQS65540:EQS65549 FAO65540:FAO65549 FKK65540:FKK65549 FUG65540:FUG65549 GEC65540:GEC65549 GNY65540:GNY65549 GXU65540:GXU65549 HHQ65540:HHQ65549 HRM65540:HRM65549 IBI65540:IBI65549 ILE65540:ILE65549 IVA65540:IVA65549 JEW65540:JEW65549 JOS65540:JOS65549 JYO65540:JYO65549 KIK65540:KIK65549 KSG65540:KSG65549 LCC65540:LCC65549 LLY65540:LLY65549 LVU65540:LVU65549 MFQ65540:MFQ65549 MPM65540:MPM65549 MZI65540:MZI65549 NJE65540:NJE65549 NTA65540:NTA65549 OCW65540:OCW65549 OMS65540:OMS65549 OWO65540:OWO65549 PGK65540:PGK65549 PQG65540:PQG65549 QAC65540:QAC65549 QJY65540:QJY65549 QTU65540:QTU65549 RDQ65540:RDQ65549 RNM65540:RNM65549 RXI65540:RXI65549 SHE65540:SHE65549 SRA65540:SRA65549 TAW65540:TAW65549 TKS65540:TKS65549 TUO65540:TUO65549 UEK65540:UEK65549 UOG65540:UOG65549 UYC65540:UYC65549 VHY65540:VHY65549 VRU65540:VRU65549 WBQ65540:WBQ65549 WLM65540:WLM65549 WVI65540:WVI65549 A131076:A131085 IW131076:IW131085 SS131076:SS131085 ACO131076:ACO131085 AMK131076:AMK131085 AWG131076:AWG131085 BGC131076:BGC131085 BPY131076:BPY131085 BZU131076:BZU131085 CJQ131076:CJQ131085 CTM131076:CTM131085 DDI131076:DDI131085 DNE131076:DNE131085 DXA131076:DXA131085 EGW131076:EGW131085 EQS131076:EQS131085 FAO131076:FAO131085 FKK131076:FKK131085 FUG131076:FUG131085 GEC131076:GEC131085 GNY131076:GNY131085 GXU131076:GXU131085 HHQ131076:HHQ131085 HRM131076:HRM131085 IBI131076:IBI131085 ILE131076:ILE131085 IVA131076:IVA131085 JEW131076:JEW131085 JOS131076:JOS131085 JYO131076:JYO131085 KIK131076:KIK131085 KSG131076:KSG131085 LCC131076:LCC131085 LLY131076:LLY131085 LVU131076:LVU131085 MFQ131076:MFQ131085 MPM131076:MPM131085 MZI131076:MZI131085 NJE131076:NJE131085 NTA131076:NTA131085 OCW131076:OCW131085 OMS131076:OMS131085 OWO131076:OWO131085 PGK131076:PGK131085 PQG131076:PQG131085 QAC131076:QAC131085 QJY131076:QJY131085 QTU131076:QTU131085 RDQ131076:RDQ131085 RNM131076:RNM131085 RXI131076:RXI131085 SHE131076:SHE131085 SRA131076:SRA131085 TAW131076:TAW131085 TKS131076:TKS131085 TUO131076:TUO131085 UEK131076:UEK131085 UOG131076:UOG131085 UYC131076:UYC131085 VHY131076:VHY131085 VRU131076:VRU131085 WBQ131076:WBQ131085 WLM131076:WLM131085 WVI131076:WVI131085 A196612:A196621 IW196612:IW196621 SS196612:SS196621 ACO196612:ACO196621 AMK196612:AMK196621 AWG196612:AWG196621 BGC196612:BGC196621 BPY196612:BPY196621 BZU196612:BZU196621 CJQ196612:CJQ196621 CTM196612:CTM196621 DDI196612:DDI196621 DNE196612:DNE196621 DXA196612:DXA196621 EGW196612:EGW196621 EQS196612:EQS196621 FAO196612:FAO196621 FKK196612:FKK196621 FUG196612:FUG196621 GEC196612:GEC196621 GNY196612:GNY196621 GXU196612:GXU196621 HHQ196612:HHQ196621 HRM196612:HRM196621 IBI196612:IBI196621 ILE196612:ILE196621 IVA196612:IVA196621 JEW196612:JEW196621 JOS196612:JOS196621 JYO196612:JYO196621 KIK196612:KIK196621 KSG196612:KSG196621 LCC196612:LCC196621 LLY196612:LLY196621 LVU196612:LVU196621 MFQ196612:MFQ196621 MPM196612:MPM196621 MZI196612:MZI196621 NJE196612:NJE196621 NTA196612:NTA196621 OCW196612:OCW196621 OMS196612:OMS196621 OWO196612:OWO196621 PGK196612:PGK196621 PQG196612:PQG196621 QAC196612:QAC196621 QJY196612:QJY196621 QTU196612:QTU196621 RDQ196612:RDQ196621 RNM196612:RNM196621 RXI196612:RXI196621 SHE196612:SHE196621 SRA196612:SRA196621 TAW196612:TAW196621 TKS196612:TKS196621 TUO196612:TUO196621 UEK196612:UEK196621 UOG196612:UOG196621 UYC196612:UYC196621 VHY196612:VHY196621 VRU196612:VRU196621 WBQ196612:WBQ196621 WLM196612:WLM196621 WVI196612:WVI196621 A262148:A262157 IW262148:IW262157 SS262148:SS262157 ACO262148:ACO262157 AMK262148:AMK262157 AWG262148:AWG262157 BGC262148:BGC262157 BPY262148:BPY262157 BZU262148:BZU262157 CJQ262148:CJQ262157 CTM262148:CTM262157 DDI262148:DDI262157 DNE262148:DNE262157 DXA262148:DXA262157 EGW262148:EGW262157 EQS262148:EQS262157 FAO262148:FAO262157 FKK262148:FKK262157 FUG262148:FUG262157 GEC262148:GEC262157 GNY262148:GNY262157 GXU262148:GXU262157 HHQ262148:HHQ262157 HRM262148:HRM262157 IBI262148:IBI262157 ILE262148:ILE262157 IVA262148:IVA262157 JEW262148:JEW262157 JOS262148:JOS262157 JYO262148:JYO262157 KIK262148:KIK262157 KSG262148:KSG262157 LCC262148:LCC262157 LLY262148:LLY262157 LVU262148:LVU262157 MFQ262148:MFQ262157 MPM262148:MPM262157 MZI262148:MZI262157 NJE262148:NJE262157 NTA262148:NTA262157 OCW262148:OCW262157 OMS262148:OMS262157 OWO262148:OWO262157 PGK262148:PGK262157 PQG262148:PQG262157 QAC262148:QAC262157 QJY262148:QJY262157 QTU262148:QTU262157 RDQ262148:RDQ262157 RNM262148:RNM262157 RXI262148:RXI262157 SHE262148:SHE262157 SRA262148:SRA262157 TAW262148:TAW262157 TKS262148:TKS262157 TUO262148:TUO262157 UEK262148:UEK262157 UOG262148:UOG262157 UYC262148:UYC262157 VHY262148:VHY262157 VRU262148:VRU262157 WBQ262148:WBQ262157 WLM262148:WLM262157 WVI262148:WVI262157 A327684:A327693 IW327684:IW327693 SS327684:SS327693 ACO327684:ACO327693 AMK327684:AMK327693 AWG327684:AWG327693 BGC327684:BGC327693 BPY327684:BPY327693 BZU327684:BZU327693 CJQ327684:CJQ327693 CTM327684:CTM327693 DDI327684:DDI327693 DNE327684:DNE327693 DXA327684:DXA327693 EGW327684:EGW327693 EQS327684:EQS327693 FAO327684:FAO327693 FKK327684:FKK327693 FUG327684:FUG327693 GEC327684:GEC327693 GNY327684:GNY327693 GXU327684:GXU327693 HHQ327684:HHQ327693 HRM327684:HRM327693 IBI327684:IBI327693 ILE327684:ILE327693 IVA327684:IVA327693 JEW327684:JEW327693 JOS327684:JOS327693 JYO327684:JYO327693 KIK327684:KIK327693 KSG327684:KSG327693 LCC327684:LCC327693 LLY327684:LLY327693 LVU327684:LVU327693 MFQ327684:MFQ327693 MPM327684:MPM327693 MZI327684:MZI327693 NJE327684:NJE327693 NTA327684:NTA327693 OCW327684:OCW327693 OMS327684:OMS327693 OWO327684:OWO327693 PGK327684:PGK327693 PQG327684:PQG327693 QAC327684:QAC327693 QJY327684:QJY327693 QTU327684:QTU327693 RDQ327684:RDQ327693 RNM327684:RNM327693 RXI327684:RXI327693 SHE327684:SHE327693 SRA327684:SRA327693 TAW327684:TAW327693 TKS327684:TKS327693 TUO327684:TUO327693 UEK327684:UEK327693 UOG327684:UOG327693 UYC327684:UYC327693 VHY327684:VHY327693 VRU327684:VRU327693 WBQ327684:WBQ327693 WLM327684:WLM327693 WVI327684:WVI327693 A393220:A393229 IW393220:IW393229 SS393220:SS393229 ACO393220:ACO393229 AMK393220:AMK393229 AWG393220:AWG393229 BGC393220:BGC393229 BPY393220:BPY393229 BZU393220:BZU393229 CJQ393220:CJQ393229 CTM393220:CTM393229 DDI393220:DDI393229 DNE393220:DNE393229 DXA393220:DXA393229 EGW393220:EGW393229 EQS393220:EQS393229 FAO393220:FAO393229 FKK393220:FKK393229 FUG393220:FUG393229 GEC393220:GEC393229 GNY393220:GNY393229 GXU393220:GXU393229 HHQ393220:HHQ393229 HRM393220:HRM393229 IBI393220:IBI393229 ILE393220:ILE393229 IVA393220:IVA393229 JEW393220:JEW393229 JOS393220:JOS393229 JYO393220:JYO393229 KIK393220:KIK393229 KSG393220:KSG393229 LCC393220:LCC393229 LLY393220:LLY393229 LVU393220:LVU393229 MFQ393220:MFQ393229 MPM393220:MPM393229 MZI393220:MZI393229 NJE393220:NJE393229 NTA393220:NTA393229 OCW393220:OCW393229 OMS393220:OMS393229 OWO393220:OWO393229 PGK393220:PGK393229 PQG393220:PQG393229 QAC393220:QAC393229 QJY393220:QJY393229 QTU393220:QTU393229 RDQ393220:RDQ393229 RNM393220:RNM393229 RXI393220:RXI393229 SHE393220:SHE393229 SRA393220:SRA393229 TAW393220:TAW393229 TKS393220:TKS393229 TUO393220:TUO393229 UEK393220:UEK393229 UOG393220:UOG393229 UYC393220:UYC393229 VHY393220:VHY393229 VRU393220:VRU393229 WBQ393220:WBQ393229 WLM393220:WLM393229 WVI393220:WVI393229 A458756:A458765 IW458756:IW458765 SS458756:SS458765 ACO458756:ACO458765 AMK458756:AMK458765 AWG458756:AWG458765 BGC458756:BGC458765 BPY458756:BPY458765 BZU458756:BZU458765 CJQ458756:CJQ458765 CTM458756:CTM458765 DDI458756:DDI458765 DNE458756:DNE458765 DXA458756:DXA458765 EGW458756:EGW458765 EQS458756:EQS458765 FAO458756:FAO458765 FKK458756:FKK458765 FUG458756:FUG458765 GEC458756:GEC458765 GNY458756:GNY458765 GXU458756:GXU458765 HHQ458756:HHQ458765 HRM458756:HRM458765 IBI458756:IBI458765 ILE458756:ILE458765 IVA458756:IVA458765 JEW458756:JEW458765 JOS458756:JOS458765 JYO458756:JYO458765 KIK458756:KIK458765 KSG458756:KSG458765 LCC458756:LCC458765 LLY458756:LLY458765 LVU458756:LVU458765 MFQ458756:MFQ458765 MPM458756:MPM458765 MZI458756:MZI458765 NJE458756:NJE458765 NTA458756:NTA458765 OCW458756:OCW458765 OMS458756:OMS458765 OWO458756:OWO458765 PGK458756:PGK458765 PQG458756:PQG458765 QAC458756:QAC458765 QJY458756:QJY458765 QTU458756:QTU458765 RDQ458756:RDQ458765 RNM458756:RNM458765 RXI458756:RXI458765 SHE458756:SHE458765 SRA458756:SRA458765 TAW458756:TAW458765 TKS458756:TKS458765 TUO458756:TUO458765 UEK458756:UEK458765 UOG458756:UOG458765 UYC458756:UYC458765 VHY458756:VHY458765 VRU458756:VRU458765 WBQ458756:WBQ458765 WLM458756:WLM458765 WVI458756:WVI458765 A524292:A524301 IW524292:IW524301 SS524292:SS524301 ACO524292:ACO524301 AMK524292:AMK524301 AWG524292:AWG524301 BGC524292:BGC524301 BPY524292:BPY524301 BZU524292:BZU524301 CJQ524292:CJQ524301 CTM524292:CTM524301 DDI524292:DDI524301 DNE524292:DNE524301 DXA524292:DXA524301 EGW524292:EGW524301 EQS524292:EQS524301 FAO524292:FAO524301 FKK524292:FKK524301 FUG524292:FUG524301 GEC524292:GEC524301 GNY524292:GNY524301 GXU524292:GXU524301 HHQ524292:HHQ524301 HRM524292:HRM524301 IBI524292:IBI524301 ILE524292:ILE524301 IVA524292:IVA524301 JEW524292:JEW524301 JOS524292:JOS524301 JYO524292:JYO524301 KIK524292:KIK524301 KSG524292:KSG524301 LCC524292:LCC524301 LLY524292:LLY524301 LVU524292:LVU524301 MFQ524292:MFQ524301 MPM524292:MPM524301 MZI524292:MZI524301 NJE524292:NJE524301 NTA524292:NTA524301 OCW524292:OCW524301 OMS524292:OMS524301 OWO524292:OWO524301 PGK524292:PGK524301 PQG524292:PQG524301 QAC524292:QAC524301 QJY524292:QJY524301 QTU524292:QTU524301 RDQ524292:RDQ524301 RNM524292:RNM524301 RXI524292:RXI524301 SHE524292:SHE524301 SRA524292:SRA524301 TAW524292:TAW524301 TKS524292:TKS524301 TUO524292:TUO524301 UEK524292:UEK524301 UOG524292:UOG524301 UYC524292:UYC524301 VHY524292:VHY524301 VRU524292:VRU524301 WBQ524292:WBQ524301 WLM524292:WLM524301 WVI524292:WVI524301 A589828:A589837 IW589828:IW589837 SS589828:SS589837 ACO589828:ACO589837 AMK589828:AMK589837 AWG589828:AWG589837 BGC589828:BGC589837 BPY589828:BPY589837 BZU589828:BZU589837 CJQ589828:CJQ589837 CTM589828:CTM589837 DDI589828:DDI589837 DNE589828:DNE589837 DXA589828:DXA589837 EGW589828:EGW589837 EQS589828:EQS589837 FAO589828:FAO589837 FKK589828:FKK589837 FUG589828:FUG589837 GEC589828:GEC589837 GNY589828:GNY589837 GXU589828:GXU589837 HHQ589828:HHQ589837 HRM589828:HRM589837 IBI589828:IBI589837 ILE589828:ILE589837 IVA589828:IVA589837 JEW589828:JEW589837 JOS589828:JOS589837 JYO589828:JYO589837 KIK589828:KIK589837 KSG589828:KSG589837 LCC589828:LCC589837 LLY589828:LLY589837 LVU589828:LVU589837 MFQ589828:MFQ589837 MPM589828:MPM589837 MZI589828:MZI589837 NJE589828:NJE589837 NTA589828:NTA589837 OCW589828:OCW589837 OMS589828:OMS589837 OWO589828:OWO589837 PGK589828:PGK589837 PQG589828:PQG589837 QAC589828:QAC589837 QJY589828:QJY589837 QTU589828:QTU589837 RDQ589828:RDQ589837 RNM589828:RNM589837 RXI589828:RXI589837 SHE589828:SHE589837 SRA589828:SRA589837 TAW589828:TAW589837 TKS589828:TKS589837 TUO589828:TUO589837 UEK589828:UEK589837 UOG589828:UOG589837 UYC589828:UYC589837 VHY589828:VHY589837 VRU589828:VRU589837 WBQ589828:WBQ589837 WLM589828:WLM589837 WVI589828:WVI589837 A655364:A655373 IW655364:IW655373 SS655364:SS655373 ACO655364:ACO655373 AMK655364:AMK655373 AWG655364:AWG655373 BGC655364:BGC655373 BPY655364:BPY655373 BZU655364:BZU655373 CJQ655364:CJQ655373 CTM655364:CTM655373 DDI655364:DDI655373 DNE655364:DNE655373 DXA655364:DXA655373 EGW655364:EGW655373 EQS655364:EQS655373 FAO655364:FAO655373 FKK655364:FKK655373 FUG655364:FUG655373 GEC655364:GEC655373 GNY655364:GNY655373 GXU655364:GXU655373 HHQ655364:HHQ655373 HRM655364:HRM655373 IBI655364:IBI655373 ILE655364:ILE655373 IVA655364:IVA655373 JEW655364:JEW655373 JOS655364:JOS655373 JYO655364:JYO655373 KIK655364:KIK655373 KSG655364:KSG655373 LCC655364:LCC655373 LLY655364:LLY655373 LVU655364:LVU655373 MFQ655364:MFQ655373 MPM655364:MPM655373 MZI655364:MZI655373 NJE655364:NJE655373 NTA655364:NTA655373 OCW655364:OCW655373 OMS655364:OMS655373 OWO655364:OWO655373 PGK655364:PGK655373 PQG655364:PQG655373 QAC655364:QAC655373 QJY655364:QJY655373 QTU655364:QTU655373 RDQ655364:RDQ655373 RNM655364:RNM655373 RXI655364:RXI655373 SHE655364:SHE655373 SRA655364:SRA655373 TAW655364:TAW655373 TKS655364:TKS655373 TUO655364:TUO655373 UEK655364:UEK655373 UOG655364:UOG655373 UYC655364:UYC655373 VHY655364:VHY655373 VRU655364:VRU655373 WBQ655364:WBQ655373 WLM655364:WLM655373 WVI655364:WVI655373 A720900:A720909 IW720900:IW720909 SS720900:SS720909 ACO720900:ACO720909 AMK720900:AMK720909 AWG720900:AWG720909 BGC720900:BGC720909 BPY720900:BPY720909 BZU720900:BZU720909 CJQ720900:CJQ720909 CTM720900:CTM720909 DDI720900:DDI720909 DNE720900:DNE720909 DXA720900:DXA720909 EGW720900:EGW720909 EQS720900:EQS720909 FAO720900:FAO720909 FKK720900:FKK720909 FUG720900:FUG720909 GEC720900:GEC720909 GNY720900:GNY720909 GXU720900:GXU720909 HHQ720900:HHQ720909 HRM720900:HRM720909 IBI720900:IBI720909 ILE720900:ILE720909 IVA720900:IVA720909 JEW720900:JEW720909 JOS720900:JOS720909 JYO720900:JYO720909 KIK720900:KIK720909 KSG720900:KSG720909 LCC720900:LCC720909 LLY720900:LLY720909 LVU720900:LVU720909 MFQ720900:MFQ720909 MPM720900:MPM720909 MZI720900:MZI720909 NJE720900:NJE720909 NTA720900:NTA720909 OCW720900:OCW720909 OMS720900:OMS720909 OWO720900:OWO720909 PGK720900:PGK720909 PQG720900:PQG720909 QAC720900:QAC720909 QJY720900:QJY720909 QTU720900:QTU720909 RDQ720900:RDQ720909 RNM720900:RNM720909 RXI720900:RXI720909 SHE720900:SHE720909 SRA720900:SRA720909 TAW720900:TAW720909 TKS720900:TKS720909 TUO720900:TUO720909 UEK720900:UEK720909 UOG720900:UOG720909 UYC720900:UYC720909 VHY720900:VHY720909 VRU720900:VRU720909 WBQ720900:WBQ720909 WLM720900:WLM720909 WVI720900:WVI720909 A786436:A786445 IW786436:IW786445 SS786436:SS786445 ACO786436:ACO786445 AMK786436:AMK786445 AWG786436:AWG786445 BGC786436:BGC786445 BPY786436:BPY786445 BZU786436:BZU786445 CJQ786436:CJQ786445 CTM786436:CTM786445 DDI786436:DDI786445 DNE786436:DNE786445 DXA786436:DXA786445 EGW786436:EGW786445 EQS786436:EQS786445 FAO786436:FAO786445 FKK786436:FKK786445 FUG786436:FUG786445 GEC786436:GEC786445 GNY786436:GNY786445 GXU786436:GXU786445 HHQ786436:HHQ786445 HRM786436:HRM786445 IBI786436:IBI786445 ILE786436:ILE786445 IVA786436:IVA786445 JEW786436:JEW786445 JOS786436:JOS786445 JYO786436:JYO786445 KIK786436:KIK786445 KSG786436:KSG786445 LCC786436:LCC786445 LLY786436:LLY786445 LVU786436:LVU786445 MFQ786436:MFQ786445 MPM786436:MPM786445 MZI786436:MZI786445 NJE786436:NJE786445 NTA786436:NTA786445 OCW786436:OCW786445 OMS786436:OMS786445 OWO786436:OWO786445 PGK786436:PGK786445 PQG786436:PQG786445 QAC786436:QAC786445 QJY786436:QJY786445 QTU786436:QTU786445 RDQ786436:RDQ786445 RNM786436:RNM786445 RXI786436:RXI786445 SHE786436:SHE786445 SRA786436:SRA786445 TAW786436:TAW786445 TKS786436:TKS786445 TUO786436:TUO786445 UEK786436:UEK786445 UOG786436:UOG786445 UYC786436:UYC786445 VHY786436:VHY786445 VRU786436:VRU786445 WBQ786436:WBQ786445 WLM786436:WLM786445 WVI786436:WVI786445 A851972:A851981 IW851972:IW851981 SS851972:SS851981 ACO851972:ACO851981 AMK851972:AMK851981 AWG851972:AWG851981 BGC851972:BGC851981 BPY851972:BPY851981 BZU851972:BZU851981 CJQ851972:CJQ851981 CTM851972:CTM851981 DDI851972:DDI851981 DNE851972:DNE851981 DXA851972:DXA851981 EGW851972:EGW851981 EQS851972:EQS851981 FAO851972:FAO851981 FKK851972:FKK851981 FUG851972:FUG851981 GEC851972:GEC851981 GNY851972:GNY851981 GXU851972:GXU851981 HHQ851972:HHQ851981 HRM851972:HRM851981 IBI851972:IBI851981 ILE851972:ILE851981 IVA851972:IVA851981 JEW851972:JEW851981 JOS851972:JOS851981 JYO851972:JYO851981 KIK851972:KIK851981 KSG851972:KSG851981 LCC851972:LCC851981 LLY851972:LLY851981 LVU851972:LVU851981 MFQ851972:MFQ851981 MPM851972:MPM851981 MZI851972:MZI851981 NJE851972:NJE851981 NTA851972:NTA851981 OCW851972:OCW851981 OMS851972:OMS851981 OWO851972:OWO851981 PGK851972:PGK851981 PQG851972:PQG851981 QAC851972:QAC851981 QJY851972:QJY851981 QTU851972:QTU851981 RDQ851972:RDQ851981 RNM851972:RNM851981 RXI851972:RXI851981 SHE851972:SHE851981 SRA851972:SRA851981 TAW851972:TAW851981 TKS851972:TKS851981 TUO851972:TUO851981 UEK851972:UEK851981 UOG851972:UOG851981 UYC851972:UYC851981 VHY851972:VHY851981 VRU851972:VRU851981 WBQ851972:WBQ851981 WLM851972:WLM851981 WVI851972:WVI851981 A917508:A917517 IW917508:IW917517 SS917508:SS917517 ACO917508:ACO917517 AMK917508:AMK917517 AWG917508:AWG917517 BGC917508:BGC917517 BPY917508:BPY917517 BZU917508:BZU917517 CJQ917508:CJQ917517 CTM917508:CTM917517 DDI917508:DDI917517 DNE917508:DNE917517 DXA917508:DXA917517 EGW917508:EGW917517 EQS917508:EQS917517 FAO917508:FAO917517 FKK917508:FKK917517 FUG917508:FUG917517 GEC917508:GEC917517 GNY917508:GNY917517 GXU917508:GXU917517 HHQ917508:HHQ917517 HRM917508:HRM917517 IBI917508:IBI917517 ILE917508:ILE917517 IVA917508:IVA917517 JEW917508:JEW917517 JOS917508:JOS917517 JYO917508:JYO917517 KIK917508:KIK917517 KSG917508:KSG917517 LCC917508:LCC917517 LLY917508:LLY917517 LVU917508:LVU917517 MFQ917508:MFQ917517 MPM917508:MPM917517 MZI917508:MZI917517 NJE917508:NJE917517 NTA917508:NTA917517 OCW917508:OCW917517 OMS917508:OMS917517 OWO917508:OWO917517 PGK917508:PGK917517 PQG917508:PQG917517 QAC917508:QAC917517 QJY917508:QJY917517 QTU917508:QTU917517 RDQ917508:RDQ917517 RNM917508:RNM917517 RXI917508:RXI917517 SHE917508:SHE917517 SRA917508:SRA917517 TAW917508:TAW917517 TKS917508:TKS917517 TUO917508:TUO917517 UEK917508:UEK917517 UOG917508:UOG917517 UYC917508:UYC917517 VHY917508:VHY917517 VRU917508:VRU917517 WBQ917508:WBQ917517 WLM917508:WLM917517 WVI917508:WVI917517 A983044:A983053 IW983044:IW983053 SS983044:SS983053 ACO983044:ACO983053 AMK983044:AMK983053 AWG983044:AWG983053 BGC983044:BGC983053 BPY983044:BPY983053 BZU983044:BZU983053 CJQ983044:CJQ983053 CTM983044:CTM983053 DDI983044:DDI983053 DNE983044:DNE983053 DXA983044:DXA983053 EGW983044:EGW983053 EQS983044:EQS983053 FAO983044:FAO983053 FKK983044:FKK983053 FUG983044:FUG983053 GEC983044:GEC983053 GNY983044:GNY983053 GXU983044:GXU983053 HHQ983044:HHQ983053 HRM983044:HRM983053 IBI983044:IBI983053 ILE983044:ILE983053 IVA983044:IVA983053 JEW983044:JEW983053 JOS983044:JOS983053 JYO983044:JYO983053 KIK983044:KIK983053 KSG983044:KSG983053 LCC983044:LCC983053 LLY983044:LLY983053 LVU983044:LVU983053 MFQ983044:MFQ983053 MPM983044:MPM983053 MZI983044:MZI983053 NJE983044:NJE983053 NTA983044:NTA983053 OCW983044:OCW983053 OMS983044:OMS983053 OWO983044:OWO983053 PGK983044:PGK983053 PQG983044:PQG983053 QAC983044:QAC983053 QJY983044:QJY983053 QTU983044:QTU983053 RDQ983044:RDQ983053 RNM983044:RNM983053 RXI983044:RXI983053 SHE983044:SHE983053 SRA983044:SRA983053 TAW983044:TAW983053 TKS983044:TKS983053 TUO983044:TUO983053 UEK983044:UEK983053 UOG983044:UOG983053 UYC983044:UYC983053 VHY983044:VHY983053 VRU983044:VRU983053 WBQ983044:WBQ983053 WLM983044:WLM983053 WVI983044:WVI983053"/>
    <dataValidation allowBlank="1" showInputMessage="1" showErrorMessage="1" promptTitle="Check points" prompt="that need / need not be executed" sqref="A14:A29 IW14:IW29 SS14:SS29 ACO14:ACO29 AMK14:AMK29 AWG14:AWG29 BGC14:BGC29 BPY14:BPY29 BZU14:BZU29 CJQ14:CJQ29 CTM14:CTM29 DDI14:DDI29 DNE14:DNE29 DXA14:DXA29 EGW14:EGW29 EQS14:EQS29 FAO14:FAO29 FKK14:FKK29 FUG14:FUG29 GEC14:GEC29 GNY14:GNY29 GXU14:GXU29 HHQ14:HHQ29 HRM14:HRM29 IBI14:IBI29 ILE14:ILE29 IVA14:IVA29 JEW14:JEW29 JOS14:JOS29 JYO14:JYO29 KIK14:KIK29 KSG14:KSG29 LCC14:LCC29 LLY14:LLY29 LVU14:LVU29 MFQ14:MFQ29 MPM14:MPM29 MZI14:MZI29 NJE14:NJE29 NTA14:NTA29 OCW14:OCW29 OMS14:OMS29 OWO14:OWO29 PGK14:PGK29 PQG14:PQG29 QAC14:QAC29 QJY14:QJY29 QTU14:QTU29 RDQ14:RDQ29 RNM14:RNM29 RXI14:RXI29 SHE14:SHE29 SRA14:SRA29 TAW14:TAW29 TKS14:TKS29 TUO14:TUO29 UEK14:UEK29 UOG14:UOG29 UYC14:UYC29 VHY14:VHY29 VRU14:VRU29 WBQ14:WBQ29 WLM14:WLM29 WVI14:WVI29 A65550:A65565 IW65550:IW65565 SS65550:SS65565 ACO65550:ACO65565 AMK65550:AMK65565 AWG65550:AWG65565 BGC65550:BGC65565 BPY65550:BPY65565 BZU65550:BZU65565 CJQ65550:CJQ65565 CTM65550:CTM65565 DDI65550:DDI65565 DNE65550:DNE65565 DXA65550:DXA65565 EGW65550:EGW65565 EQS65550:EQS65565 FAO65550:FAO65565 FKK65550:FKK65565 FUG65550:FUG65565 GEC65550:GEC65565 GNY65550:GNY65565 GXU65550:GXU65565 HHQ65550:HHQ65565 HRM65550:HRM65565 IBI65550:IBI65565 ILE65550:ILE65565 IVA65550:IVA65565 JEW65550:JEW65565 JOS65550:JOS65565 JYO65550:JYO65565 KIK65550:KIK65565 KSG65550:KSG65565 LCC65550:LCC65565 LLY65550:LLY65565 LVU65550:LVU65565 MFQ65550:MFQ65565 MPM65550:MPM65565 MZI65550:MZI65565 NJE65550:NJE65565 NTA65550:NTA65565 OCW65550:OCW65565 OMS65550:OMS65565 OWO65550:OWO65565 PGK65550:PGK65565 PQG65550:PQG65565 QAC65550:QAC65565 QJY65550:QJY65565 QTU65550:QTU65565 RDQ65550:RDQ65565 RNM65550:RNM65565 RXI65550:RXI65565 SHE65550:SHE65565 SRA65550:SRA65565 TAW65550:TAW65565 TKS65550:TKS65565 TUO65550:TUO65565 UEK65550:UEK65565 UOG65550:UOG65565 UYC65550:UYC65565 VHY65550:VHY65565 VRU65550:VRU65565 WBQ65550:WBQ65565 WLM65550:WLM65565 WVI65550:WVI65565 A131086:A131101 IW131086:IW131101 SS131086:SS131101 ACO131086:ACO131101 AMK131086:AMK131101 AWG131086:AWG131101 BGC131086:BGC131101 BPY131086:BPY131101 BZU131086:BZU131101 CJQ131086:CJQ131101 CTM131086:CTM131101 DDI131086:DDI131101 DNE131086:DNE131101 DXA131086:DXA131101 EGW131086:EGW131101 EQS131086:EQS131101 FAO131086:FAO131101 FKK131086:FKK131101 FUG131086:FUG131101 GEC131086:GEC131101 GNY131086:GNY131101 GXU131086:GXU131101 HHQ131086:HHQ131101 HRM131086:HRM131101 IBI131086:IBI131101 ILE131086:ILE131101 IVA131086:IVA131101 JEW131086:JEW131101 JOS131086:JOS131101 JYO131086:JYO131101 KIK131086:KIK131101 KSG131086:KSG131101 LCC131086:LCC131101 LLY131086:LLY131101 LVU131086:LVU131101 MFQ131086:MFQ131101 MPM131086:MPM131101 MZI131086:MZI131101 NJE131086:NJE131101 NTA131086:NTA131101 OCW131086:OCW131101 OMS131086:OMS131101 OWO131086:OWO131101 PGK131086:PGK131101 PQG131086:PQG131101 QAC131086:QAC131101 QJY131086:QJY131101 QTU131086:QTU131101 RDQ131086:RDQ131101 RNM131086:RNM131101 RXI131086:RXI131101 SHE131086:SHE131101 SRA131086:SRA131101 TAW131086:TAW131101 TKS131086:TKS131101 TUO131086:TUO131101 UEK131086:UEK131101 UOG131086:UOG131101 UYC131086:UYC131101 VHY131086:VHY131101 VRU131086:VRU131101 WBQ131086:WBQ131101 WLM131086:WLM131101 WVI131086:WVI131101 A196622:A196637 IW196622:IW196637 SS196622:SS196637 ACO196622:ACO196637 AMK196622:AMK196637 AWG196622:AWG196637 BGC196622:BGC196637 BPY196622:BPY196637 BZU196622:BZU196637 CJQ196622:CJQ196637 CTM196622:CTM196637 DDI196622:DDI196637 DNE196622:DNE196637 DXA196622:DXA196637 EGW196622:EGW196637 EQS196622:EQS196637 FAO196622:FAO196637 FKK196622:FKK196637 FUG196622:FUG196637 GEC196622:GEC196637 GNY196622:GNY196637 GXU196622:GXU196637 HHQ196622:HHQ196637 HRM196622:HRM196637 IBI196622:IBI196637 ILE196622:ILE196637 IVA196622:IVA196637 JEW196622:JEW196637 JOS196622:JOS196637 JYO196622:JYO196637 KIK196622:KIK196637 KSG196622:KSG196637 LCC196622:LCC196637 LLY196622:LLY196637 LVU196622:LVU196637 MFQ196622:MFQ196637 MPM196622:MPM196637 MZI196622:MZI196637 NJE196622:NJE196637 NTA196622:NTA196637 OCW196622:OCW196637 OMS196622:OMS196637 OWO196622:OWO196637 PGK196622:PGK196637 PQG196622:PQG196637 QAC196622:QAC196637 QJY196622:QJY196637 QTU196622:QTU196637 RDQ196622:RDQ196637 RNM196622:RNM196637 RXI196622:RXI196637 SHE196622:SHE196637 SRA196622:SRA196637 TAW196622:TAW196637 TKS196622:TKS196637 TUO196622:TUO196637 UEK196622:UEK196637 UOG196622:UOG196637 UYC196622:UYC196637 VHY196622:VHY196637 VRU196622:VRU196637 WBQ196622:WBQ196637 WLM196622:WLM196637 WVI196622:WVI196637 A262158:A262173 IW262158:IW262173 SS262158:SS262173 ACO262158:ACO262173 AMK262158:AMK262173 AWG262158:AWG262173 BGC262158:BGC262173 BPY262158:BPY262173 BZU262158:BZU262173 CJQ262158:CJQ262173 CTM262158:CTM262173 DDI262158:DDI262173 DNE262158:DNE262173 DXA262158:DXA262173 EGW262158:EGW262173 EQS262158:EQS262173 FAO262158:FAO262173 FKK262158:FKK262173 FUG262158:FUG262173 GEC262158:GEC262173 GNY262158:GNY262173 GXU262158:GXU262173 HHQ262158:HHQ262173 HRM262158:HRM262173 IBI262158:IBI262173 ILE262158:ILE262173 IVA262158:IVA262173 JEW262158:JEW262173 JOS262158:JOS262173 JYO262158:JYO262173 KIK262158:KIK262173 KSG262158:KSG262173 LCC262158:LCC262173 LLY262158:LLY262173 LVU262158:LVU262173 MFQ262158:MFQ262173 MPM262158:MPM262173 MZI262158:MZI262173 NJE262158:NJE262173 NTA262158:NTA262173 OCW262158:OCW262173 OMS262158:OMS262173 OWO262158:OWO262173 PGK262158:PGK262173 PQG262158:PQG262173 QAC262158:QAC262173 QJY262158:QJY262173 QTU262158:QTU262173 RDQ262158:RDQ262173 RNM262158:RNM262173 RXI262158:RXI262173 SHE262158:SHE262173 SRA262158:SRA262173 TAW262158:TAW262173 TKS262158:TKS262173 TUO262158:TUO262173 UEK262158:UEK262173 UOG262158:UOG262173 UYC262158:UYC262173 VHY262158:VHY262173 VRU262158:VRU262173 WBQ262158:WBQ262173 WLM262158:WLM262173 WVI262158:WVI262173 A327694:A327709 IW327694:IW327709 SS327694:SS327709 ACO327694:ACO327709 AMK327694:AMK327709 AWG327694:AWG327709 BGC327694:BGC327709 BPY327694:BPY327709 BZU327694:BZU327709 CJQ327694:CJQ327709 CTM327694:CTM327709 DDI327694:DDI327709 DNE327694:DNE327709 DXA327694:DXA327709 EGW327694:EGW327709 EQS327694:EQS327709 FAO327694:FAO327709 FKK327694:FKK327709 FUG327694:FUG327709 GEC327694:GEC327709 GNY327694:GNY327709 GXU327694:GXU327709 HHQ327694:HHQ327709 HRM327694:HRM327709 IBI327694:IBI327709 ILE327694:ILE327709 IVA327694:IVA327709 JEW327694:JEW327709 JOS327694:JOS327709 JYO327694:JYO327709 KIK327694:KIK327709 KSG327694:KSG327709 LCC327694:LCC327709 LLY327694:LLY327709 LVU327694:LVU327709 MFQ327694:MFQ327709 MPM327694:MPM327709 MZI327694:MZI327709 NJE327694:NJE327709 NTA327694:NTA327709 OCW327694:OCW327709 OMS327694:OMS327709 OWO327694:OWO327709 PGK327694:PGK327709 PQG327694:PQG327709 QAC327694:QAC327709 QJY327694:QJY327709 QTU327694:QTU327709 RDQ327694:RDQ327709 RNM327694:RNM327709 RXI327694:RXI327709 SHE327694:SHE327709 SRA327694:SRA327709 TAW327694:TAW327709 TKS327694:TKS327709 TUO327694:TUO327709 UEK327694:UEK327709 UOG327694:UOG327709 UYC327694:UYC327709 VHY327694:VHY327709 VRU327694:VRU327709 WBQ327694:WBQ327709 WLM327694:WLM327709 WVI327694:WVI327709 A393230:A393245 IW393230:IW393245 SS393230:SS393245 ACO393230:ACO393245 AMK393230:AMK393245 AWG393230:AWG393245 BGC393230:BGC393245 BPY393230:BPY393245 BZU393230:BZU393245 CJQ393230:CJQ393245 CTM393230:CTM393245 DDI393230:DDI393245 DNE393230:DNE393245 DXA393230:DXA393245 EGW393230:EGW393245 EQS393230:EQS393245 FAO393230:FAO393245 FKK393230:FKK393245 FUG393230:FUG393245 GEC393230:GEC393245 GNY393230:GNY393245 GXU393230:GXU393245 HHQ393230:HHQ393245 HRM393230:HRM393245 IBI393230:IBI393245 ILE393230:ILE393245 IVA393230:IVA393245 JEW393230:JEW393245 JOS393230:JOS393245 JYO393230:JYO393245 KIK393230:KIK393245 KSG393230:KSG393245 LCC393230:LCC393245 LLY393230:LLY393245 LVU393230:LVU393245 MFQ393230:MFQ393245 MPM393230:MPM393245 MZI393230:MZI393245 NJE393230:NJE393245 NTA393230:NTA393245 OCW393230:OCW393245 OMS393230:OMS393245 OWO393230:OWO393245 PGK393230:PGK393245 PQG393230:PQG393245 QAC393230:QAC393245 QJY393230:QJY393245 QTU393230:QTU393245 RDQ393230:RDQ393245 RNM393230:RNM393245 RXI393230:RXI393245 SHE393230:SHE393245 SRA393230:SRA393245 TAW393230:TAW393245 TKS393230:TKS393245 TUO393230:TUO393245 UEK393230:UEK393245 UOG393230:UOG393245 UYC393230:UYC393245 VHY393230:VHY393245 VRU393230:VRU393245 WBQ393230:WBQ393245 WLM393230:WLM393245 WVI393230:WVI393245 A458766:A458781 IW458766:IW458781 SS458766:SS458781 ACO458766:ACO458781 AMK458766:AMK458781 AWG458766:AWG458781 BGC458766:BGC458781 BPY458766:BPY458781 BZU458766:BZU458781 CJQ458766:CJQ458781 CTM458766:CTM458781 DDI458766:DDI458781 DNE458766:DNE458781 DXA458766:DXA458781 EGW458766:EGW458781 EQS458766:EQS458781 FAO458766:FAO458781 FKK458766:FKK458781 FUG458766:FUG458781 GEC458766:GEC458781 GNY458766:GNY458781 GXU458766:GXU458781 HHQ458766:HHQ458781 HRM458766:HRM458781 IBI458766:IBI458781 ILE458766:ILE458781 IVA458766:IVA458781 JEW458766:JEW458781 JOS458766:JOS458781 JYO458766:JYO458781 KIK458766:KIK458781 KSG458766:KSG458781 LCC458766:LCC458781 LLY458766:LLY458781 LVU458766:LVU458781 MFQ458766:MFQ458781 MPM458766:MPM458781 MZI458766:MZI458781 NJE458766:NJE458781 NTA458766:NTA458781 OCW458766:OCW458781 OMS458766:OMS458781 OWO458766:OWO458781 PGK458766:PGK458781 PQG458766:PQG458781 QAC458766:QAC458781 QJY458766:QJY458781 QTU458766:QTU458781 RDQ458766:RDQ458781 RNM458766:RNM458781 RXI458766:RXI458781 SHE458766:SHE458781 SRA458766:SRA458781 TAW458766:TAW458781 TKS458766:TKS458781 TUO458766:TUO458781 UEK458766:UEK458781 UOG458766:UOG458781 UYC458766:UYC458781 VHY458766:VHY458781 VRU458766:VRU458781 WBQ458766:WBQ458781 WLM458766:WLM458781 WVI458766:WVI458781 A524302:A524317 IW524302:IW524317 SS524302:SS524317 ACO524302:ACO524317 AMK524302:AMK524317 AWG524302:AWG524317 BGC524302:BGC524317 BPY524302:BPY524317 BZU524302:BZU524317 CJQ524302:CJQ524317 CTM524302:CTM524317 DDI524302:DDI524317 DNE524302:DNE524317 DXA524302:DXA524317 EGW524302:EGW524317 EQS524302:EQS524317 FAO524302:FAO524317 FKK524302:FKK524317 FUG524302:FUG524317 GEC524302:GEC524317 GNY524302:GNY524317 GXU524302:GXU524317 HHQ524302:HHQ524317 HRM524302:HRM524317 IBI524302:IBI524317 ILE524302:ILE524317 IVA524302:IVA524317 JEW524302:JEW524317 JOS524302:JOS524317 JYO524302:JYO524317 KIK524302:KIK524317 KSG524302:KSG524317 LCC524302:LCC524317 LLY524302:LLY524317 LVU524302:LVU524317 MFQ524302:MFQ524317 MPM524302:MPM524317 MZI524302:MZI524317 NJE524302:NJE524317 NTA524302:NTA524317 OCW524302:OCW524317 OMS524302:OMS524317 OWO524302:OWO524317 PGK524302:PGK524317 PQG524302:PQG524317 QAC524302:QAC524317 QJY524302:QJY524317 QTU524302:QTU524317 RDQ524302:RDQ524317 RNM524302:RNM524317 RXI524302:RXI524317 SHE524302:SHE524317 SRA524302:SRA524317 TAW524302:TAW524317 TKS524302:TKS524317 TUO524302:TUO524317 UEK524302:UEK524317 UOG524302:UOG524317 UYC524302:UYC524317 VHY524302:VHY524317 VRU524302:VRU524317 WBQ524302:WBQ524317 WLM524302:WLM524317 WVI524302:WVI524317 A589838:A589853 IW589838:IW589853 SS589838:SS589853 ACO589838:ACO589853 AMK589838:AMK589853 AWG589838:AWG589853 BGC589838:BGC589853 BPY589838:BPY589853 BZU589838:BZU589853 CJQ589838:CJQ589853 CTM589838:CTM589853 DDI589838:DDI589853 DNE589838:DNE589853 DXA589838:DXA589853 EGW589838:EGW589853 EQS589838:EQS589853 FAO589838:FAO589853 FKK589838:FKK589853 FUG589838:FUG589853 GEC589838:GEC589853 GNY589838:GNY589853 GXU589838:GXU589853 HHQ589838:HHQ589853 HRM589838:HRM589853 IBI589838:IBI589853 ILE589838:ILE589853 IVA589838:IVA589853 JEW589838:JEW589853 JOS589838:JOS589853 JYO589838:JYO589853 KIK589838:KIK589853 KSG589838:KSG589853 LCC589838:LCC589853 LLY589838:LLY589853 LVU589838:LVU589853 MFQ589838:MFQ589853 MPM589838:MPM589853 MZI589838:MZI589853 NJE589838:NJE589853 NTA589838:NTA589853 OCW589838:OCW589853 OMS589838:OMS589853 OWO589838:OWO589853 PGK589838:PGK589853 PQG589838:PQG589853 QAC589838:QAC589853 QJY589838:QJY589853 QTU589838:QTU589853 RDQ589838:RDQ589853 RNM589838:RNM589853 RXI589838:RXI589853 SHE589838:SHE589853 SRA589838:SRA589853 TAW589838:TAW589853 TKS589838:TKS589853 TUO589838:TUO589853 UEK589838:UEK589853 UOG589838:UOG589853 UYC589838:UYC589853 VHY589838:VHY589853 VRU589838:VRU589853 WBQ589838:WBQ589853 WLM589838:WLM589853 WVI589838:WVI589853 A655374:A655389 IW655374:IW655389 SS655374:SS655389 ACO655374:ACO655389 AMK655374:AMK655389 AWG655374:AWG655389 BGC655374:BGC655389 BPY655374:BPY655389 BZU655374:BZU655389 CJQ655374:CJQ655389 CTM655374:CTM655389 DDI655374:DDI655389 DNE655374:DNE655389 DXA655374:DXA655389 EGW655374:EGW655389 EQS655374:EQS655389 FAO655374:FAO655389 FKK655374:FKK655389 FUG655374:FUG655389 GEC655374:GEC655389 GNY655374:GNY655389 GXU655374:GXU655389 HHQ655374:HHQ655389 HRM655374:HRM655389 IBI655374:IBI655389 ILE655374:ILE655389 IVA655374:IVA655389 JEW655374:JEW655389 JOS655374:JOS655389 JYO655374:JYO655389 KIK655374:KIK655389 KSG655374:KSG655389 LCC655374:LCC655389 LLY655374:LLY655389 LVU655374:LVU655389 MFQ655374:MFQ655389 MPM655374:MPM655389 MZI655374:MZI655389 NJE655374:NJE655389 NTA655374:NTA655389 OCW655374:OCW655389 OMS655374:OMS655389 OWO655374:OWO655389 PGK655374:PGK655389 PQG655374:PQG655389 QAC655374:QAC655389 QJY655374:QJY655389 QTU655374:QTU655389 RDQ655374:RDQ655389 RNM655374:RNM655389 RXI655374:RXI655389 SHE655374:SHE655389 SRA655374:SRA655389 TAW655374:TAW655389 TKS655374:TKS655389 TUO655374:TUO655389 UEK655374:UEK655389 UOG655374:UOG655389 UYC655374:UYC655389 VHY655374:VHY655389 VRU655374:VRU655389 WBQ655374:WBQ655389 WLM655374:WLM655389 WVI655374:WVI655389 A720910:A720925 IW720910:IW720925 SS720910:SS720925 ACO720910:ACO720925 AMK720910:AMK720925 AWG720910:AWG720925 BGC720910:BGC720925 BPY720910:BPY720925 BZU720910:BZU720925 CJQ720910:CJQ720925 CTM720910:CTM720925 DDI720910:DDI720925 DNE720910:DNE720925 DXA720910:DXA720925 EGW720910:EGW720925 EQS720910:EQS720925 FAO720910:FAO720925 FKK720910:FKK720925 FUG720910:FUG720925 GEC720910:GEC720925 GNY720910:GNY720925 GXU720910:GXU720925 HHQ720910:HHQ720925 HRM720910:HRM720925 IBI720910:IBI720925 ILE720910:ILE720925 IVA720910:IVA720925 JEW720910:JEW720925 JOS720910:JOS720925 JYO720910:JYO720925 KIK720910:KIK720925 KSG720910:KSG720925 LCC720910:LCC720925 LLY720910:LLY720925 LVU720910:LVU720925 MFQ720910:MFQ720925 MPM720910:MPM720925 MZI720910:MZI720925 NJE720910:NJE720925 NTA720910:NTA720925 OCW720910:OCW720925 OMS720910:OMS720925 OWO720910:OWO720925 PGK720910:PGK720925 PQG720910:PQG720925 QAC720910:QAC720925 QJY720910:QJY720925 QTU720910:QTU720925 RDQ720910:RDQ720925 RNM720910:RNM720925 RXI720910:RXI720925 SHE720910:SHE720925 SRA720910:SRA720925 TAW720910:TAW720925 TKS720910:TKS720925 TUO720910:TUO720925 UEK720910:UEK720925 UOG720910:UOG720925 UYC720910:UYC720925 VHY720910:VHY720925 VRU720910:VRU720925 WBQ720910:WBQ720925 WLM720910:WLM720925 WVI720910:WVI720925 A786446:A786461 IW786446:IW786461 SS786446:SS786461 ACO786446:ACO786461 AMK786446:AMK786461 AWG786446:AWG786461 BGC786446:BGC786461 BPY786446:BPY786461 BZU786446:BZU786461 CJQ786446:CJQ786461 CTM786446:CTM786461 DDI786446:DDI786461 DNE786446:DNE786461 DXA786446:DXA786461 EGW786446:EGW786461 EQS786446:EQS786461 FAO786446:FAO786461 FKK786446:FKK786461 FUG786446:FUG786461 GEC786446:GEC786461 GNY786446:GNY786461 GXU786446:GXU786461 HHQ786446:HHQ786461 HRM786446:HRM786461 IBI786446:IBI786461 ILE786446:ILE786461 IVA786446:IVA786461 JEW786446:JEW786461 JOS786446:JOS786461 JYO786446:JYO786461 KIK786446:KIK786461 KSG786446:KSG786461 LCC786446:LCC786461 LLY786446:LLY786461 LVU786446:LVU786461 MFQ786446:MFQ786461 MPM786446:MPM786461 MZI786446:MZI786461 NJE786446:NJE786461 NTA786446:NTA786461 OCW786446:OCW786461 OMS786446:OMS786461 OWO786446:OWO786461 PGK786446:PGK786461 PQG786446:PQG786461 QAC786446:QAC786461 QJY786446:QJY786461 QTU786446:QTU786461 RDQ786446:RDQ786461 RNM786446:RNM786461 RXI786446:RXI786461 SHE786446:SHE786461 SRA786446:SRA786461 TAW786446:TAW786461 TKS786446:TKS786461 TUO786446:TUO786461 UEK786446:UEK786461 UOG786446:UOG786461 UYC786446:UYC786461 VHY786446:VHY786461 VRU786446:VRU786461 WBQ786446:WBQ786461 WLM786446:WLM786461 WVI786446:WVI786461 A851982:A851997 IW851982:IW851997 SS851982:SS851997 ACO851982:ACO851997 AMK851982:AMK851997 AWG851982:AWG851997 BGC851982:BGC851997 BPY851982:BPY851997 BZU851982:BZU851997 CJQ851982:CJQ851997 CTM851982:CTM851997 DDI851982:DDI851997 DNE851982:DNE851997 DXA851982:DXA851997 EGW851982:EGW851997 EQS851982:EQS851997 FAO851982:FAO851997 FKK851982:FKK851997 FUG851982:FUG851997 GEC851982:GEC851997 GNY851982:GNY851997 GXU851982:GXU851997 HHQ851982:HHQ851997 HRM851982:HRM851997 IBI851982:IBI851997 ILE851982:ILE851997 IVA851982:IVA851997 JEW851982:JEW851997 JOS851982:JOS851997 JYO851982:JYO851997 KIK851982:KIK851997 KSG851982:KSG851997 LCC851982:LCC851997 LLY851982:LLY851997 LVU851982:LVU851997 MFQ851982:MFQ851997 MPM851982:MPM851997 MZI851982:MZI851997 NJE851982:NJE851997 NTA851982:NTA851997 OCW851982:OCW851997 OMS851982:OMS851997 OWO851982:OWO851997 PGK851982:PGK851997 PQG851982:PQG851997 QAC851982:QAC851997 QJY851982:QJY851997 QTU851982:QTU851997 RDQ851982:RDQ851997 RNM851982:RNM851997 RXI851982:RXI851997 SHE851982:SHE851997 SRA851982:SRA851997 TAW851982:TAW851997 TKS851982:TKS851997 TUO851982:TUO851997 UEK851982:UEK851997 UOG851982:UOG851997 UYC851982:UYC851997 VHY851982:VHY851997 VRU851982:VRU851997 WBQ851982:WBQ851997 WLM851982:WLM851997 WVI851982:WVI851997 A917518:A917533 IW917518:IW917533 SS917518:SS917533 ACO917518:ACO917533 AMK917518:AMK917533 AWG917518:AWG917533 BGC917518:BGC917533 BPY917518:BPY917533 BZU917518:BZU917533 CJQ917518:CJQ917533 CTM917518:CTM917533 DDI917518:DDI917533 DNE917518:DNE917533 DXA917518:DXA917533 EGW917518:EGW917533 EQS917518:EQS917533 FAO917518:FAO917533 FKK917518:FKK917533 FUG917518:FUG917533 GEC917518:GEC917533 GNY917518:GNY917533 GXU917518:GXU917533 HHQ917518:HHQ917533 HRM917518:HRM917533 IBI917518:IBI917533 ILE917518:ILE917533 IVA917518:IVA917533 JEW917518:JEW917533 JOS917518:JOS917533 JYO917518:JYO917533 KIK917518:KIK917533 KSG917518:KSG917533 LCC917518:LCC917533 LLY917518:LLY917533 LVU917518:LVU917533 MFQ917518:MFQ917533 MPM917518:MPM917533 MZI917518:MZI917533 NJE917518:NJE917533 NTA917518:NTA917533 OCW917518:OCW917533 OMS917518:OMS917533 OWO917518:OWO917533 PGK917518:PGK917533 PQG917518:PQG917533 QAC917518:QAC917533 QJY917518:QJY917533 QTU917518:QTU917533 RDQ917518:RDQ917533 RNM917518:RNM917533 RXI917518:RXI917533 SHE917518:SHE917533 SRA917518:SRA917533 TAW917518:TAW917533 TKS917518:TKS917533 TUO917518:TUO917533 UEK917518:UEK917533 UOG917518:UOG917533 UYC917518:UYC917533 VHY917518:VHY917533 VRU917518:VRU917533 WBQ917518:WBQ917533 WLM917518:WLM917533 WVI917518:WVI917533 A983054:A983069 IW983054:IW983069 SS983054:SS983069 ACO983054:ACO983069 AMK983054:AMK983069 AWG983054:AWG983069 BGC983054:BGC983069 BPY983054:BPY983069 BZU983054:BZU983069 CJQ983054:CJQ983069 CTM983054:CTM983069 DDI983054:DDI983069 DNE983054:DNE983069 DXA983054:DXA983069 EGW983054:EGW983069 EQS983054:EQS983069 FAO983054:FAO983069 FKK983054:FKK983069 FUG983054:FUG983069 GEC983054:GEC983069 GNY983054:GNY983069 GXU983054:GXU983069 HHQ983054:HHQ983069 HRM983054:HRM983069 IBI983054:IBI983069 ILE983054:ILE983069 IVA983054:IVA983069 JEW983054:JEW983069 JOS983054:JOS983069 JYO983054:JYO983069 KIK983054:KIK983069 KSG983054:KSG983069 LCC983054:LCC983069 LLY983054:LLY983069 LVU983054:LVU983069 MFQ983054:MFQ983069 MPM983054:MPM983069 MZI983054:MZI983069 NJE983054:NJE983069 NTA983054:NTA983069 OCW983054:OCW983069 OMS983054:OMS983069 OWO983054:OWO983069 PGK983054:PGK983069 PQG983054:PQG983069 QAC983054:QAC983069 QJY983054:QJY983069 QTU983054:QTU983069 RDQ983054:RDQ983069 RNM983054:RNM983069 RXI983054:RXI983069 SHE983054:SHE983069 SRA983054:SRA983069 TAW983054:TAW983069 TKS983054:TKS983069 TUO983054:TUO983069 UEK983054:UEK983069 UOG983054:UOG983069 UYC983054:UYC983069 VHY983054:VHY983069 VRU983054:VRU983069 WBQ983054:WBQ983069 WLM983054:WLM983069 WVI983054:WVI983069"/>
    <dataValidation allowBlank="1" showInputMessage="1" showErrorMessage="1" promptTitle="Condition Type" prompt="N : Normal _x000a_A : Abnormal _x000a_B : Boundary" sqref="G30 JC30 SY30 ACU30 AMQ30 AWM30 BGI30 BQE30 CAA30 CJW30 CTS30 DDO30 DNK30 DXG30 EHC30 EQY30 FAU30 FKQ30 FUM30 GEI30 GOE30 GYA30 HHW30 HRS30 IBO30 ILK30 IVG30 JFC30 JOY30 JYU30 KIQ30 KSM30 LCI30 LME30 LWA30 MFW30 MPS30 MZO30 NJK30 NTG30 ODC30 OMY30 OWU30 PGQ30 PQM30 QAI30 QKE30 QUA30 RDW30 RNS30 RXO30 SHK30 SRG30 TBC30 TKY30 TUU30 UEQ30 UOM30 UYI30 VIE30 VSA30 WBW30 WLS30 WVO30 G65566 JC65566 SY65566 ACU65566 AMQ65566 AWM65566 BGI65566 BQE65566 CAA65566 CJW65566 CTS65566 DDO65566 DNK65566 DXG65566 EHC65566 EQY65566 FAU65566 FKQ65566 FUM65566 GEI65566 GOE65566 GYA65566 HHW65566 HRS65566 IBO65566 ILK65566 IVG65566 JFC65566 JOY65566 JYU65566 KIQ65566 KSM65566 LCI65566 LME65566 LWA65566 MFW65566 MPS65566 MZO65566 NJK65566 NTG65566 ODC65566 OMY65566 OWU65566 PGQ65566 PQM65566 QAI65566 QKE65566 QUA65566 RDW65566 RNS65566 RXO65566 SHK65566 SRG65566 TBC65566 TKY65566 TUU65566 UEQ65566 UOM65566 UYI65566 VIE65566 VSA65566 WBW65566 WLS65566 WVO65566 G131102 JC131102 SY131102 ACU131102 AMQ131102 AWM131102 BGI131102 BQE131102 CAA131102 CJW131102 CTS131102 DDO131102 DNK131102 DXG131102 EHC131102 EQY131102 FAU131102 FKQ131102 FUM131102 GEI131102 GOE131102 GYA131102 HHW131102 HRS131102 IBO131102 ILK131102 IVG131102 JFC131102 JOY131102 JYU131102 KIQ131102 KSM131102 LCI131102 LME131102 LWA131102 MFW131102 MPS131102 MZO131102 NJK131102 NTG131102 ODC131102 OMY131102 OWU131102 PGQ131102 PQM131102 QAI131102 QKE131102 QUA131102 RDW131102 RNS131102 RXO131102 SHK131102 SRG131102 TBC131102 TKY131102 TUU131102 UEQ131102 UOM131102 UYI131102 VIE131102 VSA131102 WBW131102 WLS131102 WVO131102 G196638 JC196638 SY196638 ACU196638 AMQ196638 AWM196638 BGI196638 BQE196638 CAA196638 CJW196638 CTS196638 DDO196638 DNK196638 DXG196638 EHC196638 EQY196638 FAU196638 FKQ196638 FUM196638 GEI196638 GOE196638 GYA196638 HHW196638 HRS196638 IBO196638 ILK196638 IVG196638 JFC196638 JOY196638 JYU196638 KIQ196638 KSM196638 LCI196638 LME196638 LWA196638 MFW196638 MPS196638 MZO196638 NJK196638 NTG196638 ODC196638 OMY196638 OWU196638 PGQ196638 PQM196638 QAI196638 QKE196638 QUA196638 RDW196638 RNS196638 RXO196638 SHK196638 SRG196638 TBC196638 TKY196638 TUU196638 UEQ196638 UOM196638 UYI196638 VIE196638 VSA196638 WBW196638 WLS196638 WVO196638 G262174 JC262174 SY262174 ACU262174 AMQ262174 AWM262174 BGI262174 BQE262174 CAA262174 CJW262174 CTS262174 DDO262174 DNK262174 DXG262174 EHC262174 EQY262174 FAU262174 FKQ262174 FUM262174 GEI262174 GOE262174 GYA262174 HHW262174 HRS262174 IBO262174 ILK262174 IVG262174 JFC262174 JOY262174 JYU262174 KIQ262174 KSM262174 LCI262174 LME262174 LWA262174 MFW262174 MPS262174 MZO262174 NJK262174 NTG262174 ODC262174 OMY262174 OWU262174 PGQ262174 PQM262174 QAI262174 QKE262174 QUA262174 RDW262174 RNS262174 RXO262174 SHK262174 SRG262174 TBC262174 TKY262174 TUU262174 UEQ262174 UOM262174 UYI262174 VIE262174 VSA262174 WBW262174 WLS262174 WVO262174 G327710 JC327710 SY327710 ACU327710 AMQ327710 AWM327710 BGI327710 BQE327710 CAA327710 CJW327710 CTS327710 DDO327710 DNK327710 DXG327710 EHC327710 EQY327710 FAU327710 FKQ327710 FUM327710 GEI327710 GOE327710 GYA327710 HHW327710 HRS327710 IBO327710 ILK327710 IVG327710 JFC327710 JOY327710 JYU327710 KIQ327710 KSM327710 LCI327710 LME327710 LWA327710 MFW327710 MPS327710 MZO327710 NJK327710 NTG327710 ODC327710 OMY327710 OWU327710 PGQ327710 PQM327710 QAI327710 QKE327710 QUA327710 RDW327710 RNS327710 RXO327710 SHK327710 SRG327710 TBC327710 TKY327710 TUU327710 UEQ327710 UOM327710 UYI327710 VIE327710 VSA327710 WBW327710 WLS327710 WVO327710 G393246 JC393246 SY393246 ACU393246 AMQ393246 AWM393246 BGI393246 BQE393246 CAA393246 CJW393246 CTS393246 DDO393246 DNK393246 DXG393246 EHC393246 EQY393246 FAU393246 FKQ393246 FUM393246 GEI393246 GOE393246 GYA393246 HHW393246 HRS393246 IBO393246 ILK393246 IVG393246 JFC393246 JOY393246 JYU393246 KIQ393246 KSM393246 LCI393246 LME393246 LWA393246 MFW393246 MPS393246 MZO393246 NJK393246 NTG393246 ODC393246 OMY393246 OWU393246 PGQ393246 PQM393246 QAI393246 QKE393246 QUA393246 RDW393246 RNS393246 RXO393246 SHK393246 SRG393246 TBC393246 TKY393246 TUU393246 UEQ393246 UOM393246 UYI393246 VIE393246 VSA393246 WBW393246 WLS393246 WVO393246 G458782 JC458782 SY458782 ACU458782 AMQ458782 AWM458782 BGI458782 BQE458782 CAA458782 CJW458782 CTS458782 DDO458782 DNK458782 DXG458782 EHC458782 EQY458782 FAU458782 FKQ458782 FUM458782 GEI458782 GOE458782 GYA458782 HHW458782 HRS458782 IBO458782 ILK458782 IVG458782 JFC458782 JOY458782 JYU458782 KIQ458782 KSM458782 LCI458782 LME458782 LWA458782 MFW458782 MPS458782 MZO458782 NJK458782 NTG458782 ODC458782 OMY458782 OWU458782 PGQ458782 PQM458782 QAI458782 QKE458782 QUA458782 RDW458782 RNS458782 RXO458782 SHK458782 SRG458782 TBC458782 TKY458782 TUU458782 UEQ458782 UOM458782 UYI458782 VIE458782 VSA458782 WBW458782 WLS458782 WVO458782 G524318 JC524318 SY524318 ACU524318 AMQ524318 AWM524318 BGI524318 BQE524318 CAA524318 CJW524318 CTS524318 DDO524318 DNK524318 DXG524318 EHC524318 EQY524318 FAU524318 FKQ524318 FUM524318 GEI524318 GOE524318 GYA524318 HHW524318 HRS524318 IBO524318 ILK524318 IVG524318 JFC524318 JOY524318 JYU524318 KIQ524318 KSM524318 LCI524318 LME524318 LWA524318 MFW524318 MPS524318 MZO524318 NJK524318 NTG524318 ODC524318 OMY524318 OWU524318 PGQ524318 PQM524318 QAI524318 QKE524318 QUA524318 RDW524318 RNS524318 RXO524318 SHK524318 SRG524318 TBC524318 TKY524318 TUU524318 UEQ524318 UOM524318 UYI524318 VIE524318 VSA524318 WBW524318 WLS524318 WVO524318 G589854 JC589854 SY589854 ACU589854 AMQ589854 AWM589854 BGI589854 BQE589854 CAA589854 CJW589854 CTS589854 DDO589854 DNK589854 DXG589854 EHC589854 EQY589854 FAU589854 FKQ589854 FUM589854 GEI589854 GOE589854 GYA589854 HHW589854 HRS589854 IBO589854 ILK589854 IVG589854 JFC589854 JOY589854 JYU589854 KIQ589854 KSM589854 LCI589854 LME589854 LWA589854 MFW589854 MPS589854 MZO589854 NJK589854 NTG589854 ODC589854 OMY589854 OWU589854 PGQ589854 PQM589854 QAI589854 QKE589854 QUA589854 RDW589854 RNS589854 RXO589854 SHK589854 SRG589854 TBC589854 TKY589854 TUU589854 UEQ589854 UOM589854 UYI589854 VIE589854 VSA589854 WBW589854 WLS589854 WVO589854 G655390 JC655390 SY655390 ACU655390 AMQ655390 AWM655390 BGI655390 BQE655390 CAA655390 CJW655390 CTS655390 DDO655390 DNK655390 DXG655390 EHC655390 EQY655390 FAU655390 FKQ655390 FUM655390 GEI655390 GOE655390 GYA655390 HHW655390 HRS655390 IBO655390 ILK655390 IVG655390 JFC655390 JOY655390 JYU655390 KIQ655390 KSM655390 LCI655390 LME655390 LWA655390 MFW655390 MPS655390 MZO655390 NJK655390 NTG655390 ODC655390 OMY655390 OWU655390 PGQ655390 PQM655390 QAI655390 QKE655390 QUA655390 RDW655390 RNS655390 RXO655390 SHK655390 SRG655390 TBC655390 TKY655390 TUU655390 UEQ655390 UOM655390 UYI655390 VIE655390 VSA655390 WBW655390 WLS655390 WVO655390 G720926 JC720926 SY720926 ACU720926 AMQ720926 AWM720926 BGI720926 BQE720926 CAA720926 CJW720926 CTS720926 DDO720926 DNK720926 DXG720926 EHC720926 EQY720926 FAU720926 FKQ720926 FUM720926 GEI720926 GOE720926 GYA720926 HHW720926 HRS720926 IBO720926 ILK720926 IVG720926 JFC720926 JOY720926 JYU720926 KIQ720926 KSM720926 LCI720926 LME720926 LWA720926 MFW720926 MPS720926 MZO720926 NJK720926 NTG720926 ODC720926 OMY720926 OWU720926 PGQ720926 PQM720926 QAI720926 QKE720926 QUA720926 RDW720926 RNS720926 RXO720926 SHK720926 SRG720926 TBC720926 TKY720926 TUU720926 UEQ720926 UOM720926 UYI720926 VIE720926 VSA720926 WBW720926 WLS720926 WVO720926 G786462 JC786462 SY786462 ACU786462 AMQ786462 AWM786462 BGI786462 BQE786462 CAA786462 CJW786462 CTS786462 DDO786462 DNK786462 DXG786462 EHC786462 EQY786462 FAU786462 FKQ786462 FUM786462 GEI786462 GOE786462 GYA786462 HHW786462 HRS786462 IBO786462 ILK786462 IVG786462 JFC786462 JOY786462 JYU786462 KIQ786462 KSM786462 LCI786462 LME786462 LWA786462 MFW786462 MPS786462 MZO786462 NJK786462 NTG786462 ODC786462 OMY786462 OWU786462 PGQ786462 PQM786462 QAI786462 QKE786462 QUA786462 RDW786462 RNS786462 RXO786462 SHK786462 SRG786462 TBC786462 TKY786462 TUU786462 UEQ786462 UOM786462 UYI786462 VIE786462 VSA786462 WBW786462 WLS786462 WVO786462 G851998 JC851998 SY851998 ACU851998 AMQ851998 AWM851998 BGI851998 BQE851998 CAA851998 CJW851998 CTS851998 DDO851998 DNK851998 DXG851998 EHC851998 EQY851998 FAU851998 FKQ851998 FUM851998 GEI851998 GOE851998 GYA851998 HHW851998 HRS851998 IBO851998 ILK851998 IVG851998 JFC851998 JOY851998 JYU851998 KIQ851998 KSM851998 LCI851998 LME851998 LWA851998 MFW851998 MPS851998 MZO851998 NJK851998 NTG851998 ODC851998 OMY851998 OWU851998 PGQ851998 PQM851998 QAI851998 QKE851998 QUA851998 RDW851998 RNS851998 RXO851998 SHK851998 SRG851998 TBC851998 TKY851998 TUU851998 UEQ851998 UOM851998 UYI851998 VIE851998 VSA851998 WBW851998 WLS851998 WVO851998 G917534 JC917534 SY917534 ACU917534 AMQ917534 AWM917534 BGI917534 BQE917534 CAA917534 CJW917534 CTS917534 DDO917534 DNK917534 DXG917534 EHC917534 EQY917534 FAU917534 FKQ917534 FUM917534 GEI917534 GOE917534 GYA917534 HHW917534 HRS917534 IBO917534 ILK917534 IVG917534 JFC917534 JOY917534 JYU917534 KIQ917534 KSM917534 LCI917534 LME917534 LWA917534 MFW917534 MPS917534 MZO917534 NJK917534 NTG917534 ODC917534 OMY917534 OWU917534 PGQ917534 PQM917534 QAI917534 QKE917534 QUA917534 RDW917534 RNS917534 RXO917534 SHK917534 SRG917534 TBC917534 TKY917534 TUU917534 UEQ917534 UOM917534 UYI917534 VIE917534 VSA917534 WBW917534 WLS917534 WVO917534 G983070 JC983070 SY983070 ACU983070 AMQ983070 AWM983070 BGI983070 BQE983070 CAA983070 CJW983070 CTS983070 DDO983070 DNK983070 DXG983070 EHC983070 EQY983070 FAU983070 FKQ983070 FUM983070 GEI983070 GOE983070 GYA983070 HHW983070 HRS983070 IBO983070 ILK983070 IVG983070 JFC983070 JOY983070 JYU983070 KIQ983070 KSM983070 LCI983070 LME983070 LWA983070 MFW983070 MPS983070 MZO983070 NJK983070 NTG983070 ODC983070 OMY983070 OWU983070 PGQ983070 PQM983070 QAI983070 QKE983070 QUA983070 RDW983070 RNS983070 RXO983070 SHK983070 SRG983070 TBC983070 TKY983070 TUU983070 UEQ983070 UOM983070 UYI983070 VIE983070 VSA983070 WBW983070 WLS983070 WVO983070"/>
    <dataValidation allowBlank="1" showInputMessage="1" showErrorMessage="1" promptTitle="Enter" prompt="Name of the person who performed the test" sqref="G31 JC31 SY31 ACU31 AMQ31 AWM31 BGI31 BQE31 CAA31 CJW31 CTS31 DDO31 DNK31 DXG31 EHC31 EQY31 FAU31 FKQ31 FUM31 GEI31 GOE31 GYA31 HHW31 HRS31 IBO31 ILK31 IVG31 JFC31 JOY31 JYU31 KIQ31 KSM31 LCI31 LME31 LWA31 MFW31 MPS31 MZO31 NJK31 NTG31 ODC31 OMY31 OWU31 PGQ31 PQM31 QAI31 QKE31 QUA31 RDW31 RNS31 RXO31 SHK31 SRG31 TBC31 TKY31 TUU31 UEQ31 UOM31 UYI31 VIE31 VSA31 WBW31 WLS31 WVO31 G65567 JC65567 SY65567 ACU65567 AMQ65567 AWM65567 BGI65567 BQE65567 CAA65567 CJW65567 CTS65567 DDO65567 DNK65567 DXG65567 EHC65567 EQY65567 FAU65567 FKQ65567 FUM65567 GEI65567 GOE65567 GYA65567 HHW65567 HRS65567 IBO65567 ILK65567 IVG65567 JFC65567 JOY65567 JYU65567 KIQ65567 KSM65567 LCI65567 LME65567 LWA65567 MFW65567 MPS65567 MZO65567 NJK65567 NTG65567 ODC65567 OMY65567 OWU65567 PGQ65567 PQM65567 QAI65567 QKE65567 QUA65567 RDW65567 RNS65567 RXO65567 SHK65567 SRG65567 TBC65567 TKY65567 TUU65567 UEQ65567 UOM65567 UYI65567 VIE65567 VSA65567 WBW65567 WLS65567 WVO65567 G131103 JC131103 SY131103 ACU131103 AMQ131103 AWM131103 BGI131103 BQE131103 CAA131103 CJW131103 CTS131103 DDO131103 DNK131103 DXG131103 EHC131103 EQY131103 FAU131103 FKQ131103 FUM131103 GEI131103 GOE131103 GYA131103 HHW131103 HRS131103 IBO131103 ILK131103 IVG131103 JFC131103 JOY131103 JYU131103 KIQ131103 KSM131103 LCI131103 LME131103 LWA131103 MFW131103 MPS131103 MZO131103 NJK131103 NTG131103 ODC131103 OMY131103 OWU131103 PGQ131103 PQM131103 QAI131103 QKE131103 QUA131103 RDW131103 RNS131103 RXO131103 SHK131103 SRG131103 TBC131103 TKY131103 TUU131103 UEQ131103 UOM131103 UYI131103 VIE131103 VSA131103 WBW131103 WLS131103 WVO131103 G196639 JC196639 SY196639 ACU196639 AMQ196639 AWM196639 BGI196639 BQE196639 CAA196639 CJW196639 CTS196639 DDO196639 DNK196639 DXG196639 EHC196639 EQY196639 FAU196639 FKQ196639 FUM196639 GEI196639 GOE196639 GYA196639 HHW196639 HRS196639 IBO196639 ILK196639 IVG196639 JFC196639 JOY196639 JYU196639 KIQ196639 KSM196639 LCI196639 LME196639 LWA196639 MFW196639 MPS196639 MZO196639 NJK196639 NTG196639 ODC196639 OMY196639 OWU196639 PGQ196639 PQM196639 QAI196639 QKE196639 QUA196639 RDW196639 RNS196639 RXO196639 SHK196639 SRG196639 TBC196639 TKY196639 TUU196639 UEQ196639 UOM196639 UYI196639 VIE196639 VSA196639 WBW196639 WLS196639 WVO196639 G262175 JC262175 SY262175 ACU262175 AMQ262175 AWM262175 BGI262175 BQE262175 CAA262175 CJW262175 CTS262175 DDO262175 DNK262175 DXG262175 EHC262175 EQY262175 FAU262175 FKQ262175 FUM262175 GEI262175 GOE262175 GYA262175 HHW262175 HRS262175 IBO262175 ILK262175 IVG262175 JFC262175 JOY262175 JYU262175 KIQ262175 KSM262175 LCI262175 LME262175 LWA262175 MFW262175 MPS262175 MZO262175 NJK262175 NTG262175 ODC262175 OMY262175 OWU262175 PGQ262175 PQM262175 QAI262175 QKE262175 QUA262175 RDW262175 RNS262175 RXO262175 SHK262175 SRG262175 TBC262175 TKY262175 TUU262175 UEQ262175 UOM262175 UYI262175 VIE262175 VSA262175 WBW262175 WLS262175 WVO262175 G327711 JC327711 SY327711 ACU327711 AMQ327711 AWM327711 BGI327711 BQE327711 CAA327711 CJW327711 CTS327711 DDO327711 DNK327711 DXG327711 EHC327711 EQY327711 FAU327711 FKQ327711 FUM327711 GEI327711 GOE327711 GYA327711 HHW327711 HRS327711 IBO327711 ILK327711 IVG327711 JFC327711 JOY327711 JYU327711 KIQ327711 KSM327711 LCI327711 LME327711 LWA327711 MFW327711 MPS327711 MZO327711 NJK327711 NTG327711 ODC327711 OMY327711 OWU327711 PGQ327711 PQM327711 QAI327711 QKE327711 QUA327711 RDW327711 RNS327711 RXO327711 SHK327711 SRG327711 TBC327711 TKY327711 TUU327711 UEQ327711 UOM327711 UYI327711 VIE327711 VSA327711 WBW327711 WLS327711 WVO327711 G393247 JC393247 SY393247 ACU393247 AMQ393247 AWM393247 BGI393247 BQE393247 CAA393247 CJW393247 CTS393247 DDO393247 DNK393247 DXG393247 EHC393247 EQY393247 FAU393247 FKQ393247 FUM393247 GEI393247 GOE393247 GYA393247 HHW393247 HRS393247 IBO393247 ILK393247 IVG393247 JFC393247 JOY393247 JYU393247 KIQ393247 KSM393247 LCI393247 LME393247 LWA393247 MFW393247 MPS393247 MZO393247 NJK393247 NTG393247 ODC393247 OMY393247 OWU393247 PGQ393247 PQM393247 QAI393247 QKE393247 QUA393247 RDW393247 RNS393247 RXO393247 SHK393247 SRG393247 TBC393247 TKY393247 TUU393247 UEQ393247 UOM393247 UYI393247 VIE393247 VSA393247 WBW393247 WLS393247 WVO393247 G458783 JC458783 SY458783 ACU458783 AMQ458783 AWM458783 BGI458783 BQE458783 CAA458783 CJW458783 CTS458783 DDO458783 DNK458783 DXG458783 EHC458783 EQY458783 FAU458783 FKQ458783 FUM458783 GEI458783 GOE458783 GYA458783 HHW458783 HRS458783 IBO458783 ILK458783 IVG458783 JFC458783 JOY458783 JYU458783 KIQ458783 KSM458783 LCI458783 LME458783 LWA458783 MFW458783 MPS458783 MZO458783 NJK458783 NTG458783 ODC458783 OMY458783 OWU458783 PGQ458783 PQM458783 QAI458783 QKE458783 QUA458783 RDW458783 RNS458783 RXO458783 SHK458783 SRG458783 TBC458783 TKY458783 TUU458783 UEQ458783 UOM458783 UYI458783 VIE458783 VSA458783 WBW458783 WLS458783 WVO458783 G524319 JC524319 SY524319 ACU524319 AMQ524319 AWM524319 BGI524319 BQE524319 CAA524319 CJW524319 CTS524319 DDO524319 DNK524319 DXG524319 EHC524319 EQY524319 FAU524319 FKQ524319 FUM524319 GEI524319 GOE524319 GYA524319 HHW524319 HRS524319 IBO524319 ILK524319 IVG524319 JFC524319 JOY524319 JYU524319 KIQ524319 KSM524319 LCI524319 LME524319 LWA524319 MFW524319 MPS524319 MZO524319 NJK524319 NTG524319 ODC524319 OMY524319 OWU524319 PGQ524319 PQM524319 QAI524319 QKE524319 QUA524319 RDW524319 RNS524319 RXO524319 SHK524319 SRG524319 TBC524319 TKY524319 TUU524319 UEQ524319 UOM524319 UYI524319 VIE524319 VSA524319 WBW524319 WLS524319 WVO524319 G589855 JC589855 SY589855 ACU589855 AMQ589855 AWM589855 BGI589855 BQE589855 CAA589855 CJW589855 CTS589855 DDO589855 DNK589855 DXG589855 EHC589855 EQY589855 FAU589855 FKQ589855 FUM589855 GEI589855 GOE589855 GYA589855 HHW589855 HRS589855 IBO589855 ILK589855 IVG589855 JFC589855 JOY589855 JYU589855 KIQ589855 KSM589855 LCI589855 LME589855 LWA589855 MFW589855 MPS589855 MZO589855 NJK589855 NTG589855 ODC589855 OMY589855 OWU589855 PGQ589855 PQM589855 QAI589855 QKE589855 QUA589855 RDW589855 RNS589855 RXO589855 SHK589855 SRG589855 TBC589855 TKY589855 TUU589855 UEQ589855 UOM589855 UYI589855 VIE589855 VSA589855 WBW589855 WLS589855 WVO589855 G655391 JC655391 SY655391 ACU655391 AMQ655391 AWM655391 BGI655391 BQE655391 CAA655391 CJW655391 CTS655391 DDO655391 DNK655391 DXG655391 EHC655391 EQY655391 FAU655391 FKQ655391 FUM655391 GEI655391 GOE655391 GYA655391 HHW655391 HRS655391 IBO655391 ILK655391 IVG655391 JFC655391 JOY655391 JYU655391 KIQ655391 KSM655391 LCI655391 LME655391 LWA655391 MFW655391 MPS655391 MZO655391 NJK655391 NTG655391 ODC655391 OMY655391 OWU655391 PGQ655391 PQM655391 QAI655391 QKE655391 QUA655391 RDW655391 RNS655391 RXO655391 SHK655391 SRG655391 TBC655391 TKY655391 TUU655391 UEQ655391 UOM655391 UYI655391 VIE655391 VSA655391 WBW655391 WLS655391 WVO655391 G720927 JC720927 SY720927 ACU720927 AMQ720927 AWM720927 BGI720927 BQE720927 CAA720927 CJW720927 CTS720927 DDO720927 DNK720927 DXG720927 EHC720927 EQY720927 FAU720927 FKQ720927 FUM720927 GEI720927 GOE720927 GYA720927 HHW720927 HRS720927 IBO720927 ILK720927 IVG720927 JFC720927 JOY720927 JYU720927 KIQ720927 KSM720927 LCI720927 LME720927 LWA720927 MFW720927 MPS720927 MZO720927 NJK720927 NTG720927 ODC720927 OMY720927 OWU720927 PGQ720927 PQM720927 QAI720927 QKE720927 QUA720927 RDW720927 RNS720927 RXO720927 SHK720927 SRG720927 TBC720927 TKY720927 TUU720927 UEQ720927 UOM720927 UYI720927 VIE720927 VSA720927 WBW720927 WLS720927 WVO720927 G786463 JC786463 SY786463 ACU786463 AMQ786463 AWM786463 BGI786463 BQE786463 CAA786463 CJW786463 CTS786463 DDO786463 DNK786463 DXG786463 EHC786463 EQY786463 FAU786463 FKQ786463 FUM786463 GEI786463 GOE786463 GYA786463 HHW786463 HRS786463 IBO786463 ILK786463 IVG786463 JFC786463 JOY786463 JYU786463 KIQ786463 KSM786463 LCI786463 LME786463 LWA786463 MFW786463 MPS786463 MZO786463 NJK786463 NTG786463 ODC786463 OMY786463 OWU786463 PGQ786463 PQM786463 QAI786463 QKE786463 QUA786463 RDW786463 RNS786463 RXO786463 SHK786463 SRG786463 TBC786463 TKY786463 TUU786463 UEQ786463 UOM786463 UYI786463 VIE786463 VSA786463 WBW786463 WLS786463 WVO786463 G851999 JC851999 SY851999 ACU851999 AMQ851999 AWM851999 BGI851999 BQE851999 CAA851999 CJW851999 CTS851999 DDO851999 DNK851999 DXG851999 EHC851999 EQY851999 FAU851999 FKQ851999 FUM851999 GEI851999 GOE851999 GYA851999 HHW851999 HRS851999 IBO851999 ILK851999 IVG851999 JFC851999 JOY851999 JYU851999 KIQ851999 KSM851999 LCI851999 LME851999 LWA851999 MFW851999 MPS851999 MZO851999 NJK851999 NTG851999 ODC851999 OMY851999 OWU851999 PGQ851999 PQM851999 QAI851999 QKE851999 QUA851999 RDW851999 RNS851999 RXO851999 SHK851999 SRG851999 TBC851999 TKY851999 TUU851999 UEQ851999 UOM851999 UYI851999 VIE851999 VSA851999 WBW851999 WLS851999 WVO851999 G917535 JC917535 SY917535 ACU917535 AMQ917535 AWM917535 BGI917535 BQE917535 CAA917535 CJW917535 CTS917535 DDO917535 DNK917535 DXG917535 EHC917535 EQY917535 FAU917535 FKQ917535 FUM917535 GEI917535 GOE917535 GYA917535 HHW917535 HRS917535 IBO917535 ILK917535 IVG917535 JFC917535 JOY917535 JYU917535 KIQ917535 KSM917535 LCI917535 LME917535 LWA917535 MFW917535 MPS917535 MZO917535 NJK917535 NTG917535 ODC917535 OMY917535 OWU917535 PGQ917535 PQM917535 QAI917535 QKE917535 QUA917535 RDW917535 RNS917535 RXO917535 SHK917535 SRG917535 TBC917535 TKY917535 TUU917535 UEQ917535 UOM917535 UYI917535 VIE917535 VSA917535 WBW917535 WLS917535 WVO917535 G983071 JC983071 SY983071 ACU983071 AMQ983071 AWM983071 BGI983071 BQE983071 CAA983071 CJW983071 CTS983071 DDO983071 DNK983071 DXG983071 EHC983071 EQY983071 FAU983071 FKQ983071 FUM983071 GEI983071 GOE983071 GYA983071 HHW983071 HRS983071 IBO983071 ILK983071 IVG983071 JFC983071 JOY983071 JYU983071 KIQ983071 KSM983071 LCI983071 LME983071 LWA983071 MFW983071 MPS983071 MZO983071 NJK983071 NTG983071 ODC983071 OMY983071 OWU983071 PGQ983071 PQM983071 QAI983071 QKE983071 QUA983071 RDW983071 RNS983071 RXO983071 SHK983071 SRG983071 TBC983071 TKY983071 TUU983071 UEQ983071 UOM983071 UYI983071 VIE983071 VSA983071 WBW983071 WLS983071 WVO983071"/>
    <dataValidation allowBlank="1" showInputMessage="1" showErrorMessage="1" promptTitle="Testing Date" prompt="Date on which test was performed in yyyy/mm/dd format" sqref="G32 JC32 SY32 ACU32 AMQ32 AWM32 BGI32 BQE32 CAA32 CJW32 CTS32 DDO32 DNK32 DXG32 EHC32 EQY32 FAU32 FKQ32 FUM32 GEI32 GOE32 GYA32 HHW32 HRS32 IBO32 ILK32 IVG32 JFC32 JOY32 JYU32 KIQ32 KSM32 LCI32 LME32 LWA32 MFW32 MPS32 MZO32 NJK32 NTG32 ODC32 OMY32 OWU32 PGQ32 PQM32 QAI32 QKE32 QUA32 RDW32 RNS32 RXO32 SHK32 SRG32 TBC32 TKY32 TUU32 UEQ32 UOM32 UYI32 VIE32 VSA32 WBW32 WLS32 WVO32 G65568 JC65568 SY65568 ACU65568 AMQ65568 AWM65568 BGI65568 BQE65568 CAA65568 CJW65568 CTS65568 DDO65568 DNK65568 DXG65568 EHC65568 EQY65568 FAU65568 FKQ65568 FUM65568 GEI65568 GOE65568 GYA65568 HHW65568 HRS65568 IBO65568 ILK65568 IVG65568 JFC65568 JOY65568 JYU65568 KIQ65568 KSM65568 LCI65568 LME65568 LWA65568 MFW65568 MPS65568 MZO65568 NJK65568 NTG65568 ODC65568 OMY65568 OWU65568 PGQ65568 PQM65568 QAI65568 QKE65568 QUA65568 RDW65568 RNS65568 RXO65568 SHK65568 SRG65568 TBC65568 TKY65568 TUU65568 UEQ65568 UOM65568 UYI65568 VIE65568 VSA65568 WBW65568 WLS65568 WVO65568 G131104 JC131104 SY131104 ACU131104 AMQ131104 AWM131104 BGI131104 BQE131104 CAA131104 CJW131104 CTS131104 DDO131104 DNK131104 DXG131104 EHC131104 EQY131104 FAU131104 FKQ131104 FUM131104 GEI131104 GOE131104 GYA131104 HHW131104 HRS131104 IBO131104 ILK131104 IVG131104 JFC131104 JOY131104 JYU131104 KIQ131104 KSM131104 LCI131104 LME131104 LWA131104 MFW131104 MPS131104 MZO131104 NJK131104 NTG131104 ODC131104 OMY131104 OWU131104 PGQ131104 PQM131104 QAI131104 QKE131104 QUA131104 RDW131104 RNS131104 RXO131104 SHK131104 SRG131104 TBC131104 TKY131104 TUU131104 UEQ131104 UOM131104 UYI131104 VIE131104 VSA131104 WBW131104 WLS131104 WVO131104 G196640 JC196640 SY196640 ACU196640 AMQ196640 AWM196640 BGI196640 BQE196640 CAA196640 CJW196640 CTS196640 DDO196640 DNK196640 DXG196640 EHC196640 EQY196640 FAU196640 FKQ196640 FUM196640 GEI196640 GOE196640 GYA196640 HHW196640 HRS196640 IBO196640 ILK196640 IVG196640 JFC196640 JOY196640 JYU196640 KIQ196640 KSM196640 LCI196640 LME196640 LWA196640 MFW196640 MPS196640 MZO196640 NJK196640 NTG196640 ODC196640 OMY196640 OWU196640 PGQ196640 PQM196640 QAI196640 QKE196640 QUA196640 RDW196640 RNS196640 RXO196640 SHK196640 SRG196640 TBC196640 TKY196640 TUU196640 UEQ196640 UOM196640 UYI196640 VIE196640 VSA196640 WBW196640 WLS196640 WVO196640 G262176 JC262176 SY262176 ACU262176 AMQ262176 AWM262176 BGI262176 BQE262176 CAA262176 CJW262176 CTS262176 DDO262176 DNK262176 DXG262176 EHC262176 EQY262176 FAU262176 FKQ262176 FUM262176 GEI262176 GOE262176 GYA262176 HHW262176 HRS262176 IBO262176 ILK262176 IVG262176 JFC262176 JOY262176 JYU262176 KIQ262176 KSM262176 LCI262176 LME262176 LWA262176 MFW262176 MPS262176 MZO262176 NJK262176 NTG262176 ODC262176 OMY262176 OWU262176 PGQ262176 PQM262176 QAI262176 QKE262176 QUA262176 RDW262176 RNS262176 RXO262176 SHK262176 SRG262176 TBC262176 TKY262176 TUU262176 UEQ262176 UOM262176 UYI262176 VIE262176 VSA262176 WBW262176 WLS262176 WVO262176 G327712 JC327712 SY327712 ACU327712 AMQ327712 AWM327712 BGI327712 BQE327712 CAA327712 CJW327712 CTS327712 DDO327712 DNK327712 DXG327712 EHC327712 EQY327712 FAU327712 FKQ327712 FUM327712 GEI327712 GOE327712 GYA327712 HHW327712 HRS327712 IBO327712 ILK327712 IVG327712 JFC327712 JOY327712 JYU327712 KIQ327712 KSM327712 LCI327712 LME327712 LWA327712 MFW327712 MPS327712 MZO327712 NJK327712 NTG327712 ODC327712 OMY327712 OWU327712 PGQ327712 PQM327712 QAI327712 QKE327712 QUA327712 RDW327712 RNS327712 RXO327712 SHK327712 SRG327712 TBC327712 TKY327712 TUU327712 UEQ327712 UOM327712 UYI327712 VIE327712 VSA327712 WBW327712 WLS327712 WVO327712 G393248 JC393248 SY393248 ACU393248 AMQ393248 AWM393248 BGI393248 BQE393248 CAA393248 CJW393248 CTS393248 DDO393248 DNK393248 DXG393248 EHC393248 EQY393248 FAU393248 FKQ393248 FUM393248 GEI393248 GOE393248 GYA393248 HHW393248 HRS393248 IBO393248 ILK393248 IVG393248 JFC393248 JOY393248 JYU393248 KIQ393248 KSM393248 LCI393248 LME393248 LWA393248 MFW393248 MPS393248 MZO393248 NJK393248 NTG393248 ODC393248 OMY393248 OWU393248 PGQ393248 PQM393248 QAI393248 QKE393248 QUA393248 RDW393248 RNS393248 RXO393248 SHK393248 SRG393248 TBC393248 TKY393248 TUU393248 UEQ393248 UOM393248 UYI393248 VIE393248 VSA393248 WBW393248 WLS393248 WVO393248 G458784 JC458784 SY458784 ACU458784 AMQ458784 AWM458784 BGI458784 BQE458784 CAA458784 CJW458784 CTS458784 DDO458784 DNK458784 DXG458784 EHC458784 EQY458784 FAU458784 FKQ458784 FUM458784 GEI458784 GOE458784 GYA458784 HHW458784 HRS458784 IBO458784 ILK458784 IVG458784 JFC458784 JOY458784 JYU458784 KIQ458784 KSM458784 LCI458784 LME458784 LWA458784 MFW458784 MPS458784 MZO458784 NJK458784 NTG458784 ODC458784 OMY458784 OWU458784 PGQ458784 PQM458784 QAI458784 QKE458784 QUA458784 RDW458784 RNS458784 RXO458784 SHK458784 SRG458784 TBC458784 TKY458784 TUU458784 UEQ458784 UOM458784 UYI458784 VIE458784 VSA458784 WBW458784 WLS458784 WVO458784 G524320 JC524320 SY524320 ACU524320 AMQ524320 AWM524320 BGI524320 BQE524320 CAA524320 CJW524320 CTS524320 DDO524320 DNK524320 DXG524320 EHC524320 EQY524320 FAU524320 FKQ524320 FUM524320 GEI524320 GOE524320 GYA524320 HHW524320 HRS524320 IBO524320 ILK524320 IVG524320 JFC524320 JOY524320 JYU524320 KIQ524320 KSM524320 LCI524320 LME524320 LWA524320 MFW524320 MPS524320 MZO524320 NJK524320 NTG524320 ODC524320 OMY524320 OWU524320 PGQ524320 PQM524320 QAI524320 QKE524320 QUA524320 RDW524320 RNS524320 RXO524320 SHK524320 SRG524320 TBC524320 TKY524320 TUU524320 UEQ524320 UOM524320 UYI524320 VIE524320 VSA524320 WBW524320 WLS524320 WVO524320 G589856 JC589856 SY589856 ACU589856 AMQ589856 AWM589856 BGI589856 BQE589856 CAA589856 CJW589856 CTS589856 DDO589856 DNK589856 DXG589856 EHC589856 EQY589856 FAU589856 FKQ589856 FUM589856 GEI589856 GOE589856 GYA589856 HHW589856 HRS589856 IBO589856 ILK589856 IVG589856 JFC589856 JOY589856 JYU589856 KIQ589856 KSM589856 LCI589856 LME589856 LWA589856 MFW589856 MPS589856 MZO589856 NJK589856 NTG589856 ODC589856 OMY589856 OWU589856 PGQ589856 PQM589856 QAI589856 QKE589856 QUA589856 RDW589856 RNS589856 RXO589856 SHK589856 SRG589856 TBC589856 TKY589856 TUU589856 UEQ589856 UOM589856 UYI589856 VIE589856 VSA589856 WBW589856 WLS589856 WVO589856 G655392 JC655392 SY655392 ACU655392 AMQ655392 AWM655392 BGI655392 BQE655392 CAA655392 CJW655392 CTS655392 DDO655392 DNK655392 DXG655392 EHC655392 EQY655392 FAU655392 FKQ655392 FUM655392 GEI655392 GOE655392 GYA655392 HHW655392 HRS655392 IBO655392 ILK655392 IVG655392 JFC655392 JOY655392 JYU655392 KIQ655392 KSM655392 LCI655392 LME655392 LWA655392 MFW655392 MPS655392 MZO655392 NJK655392 NTG655392 ODC655392 OMY655392 OWU655392 PGQ655392 PQM655392 QAI655392 QKE655392 QUA655392 RDW655392 RNS655392 RXO655392 SHK655392 SRG655392 TBC655392 TKY655392 TUU655392 UEQ655392 UOM655392 UYI655392 VIE655392 VSA655392 WBW655392 WLS655392 WVO655392 G720928 JC720928 SY720928 ACU720928 AMQ720928 AWM720928 BGI720928 BQE720928 CAA720928 CJW720928 CTS720928 DDO720928 DNK720928 DXG720928 EHC720928 EQY720928 FAU720928 FKQ720928 FUM720928 GEI720928 GOE720928 GYA720928 HHW720928 HRS720928 IBO720928 ILK720928 IVG720928 JFC720928 JOY720928 JYU720928 KIQ720928 KSM720928 LCI720928 LME720928 LWA720928 MFW720928 MPS720928 MZO720928 NJK720928 NTG720928 ODC720928 OMY720928 OWU720928 PGQ720928 PQM720928 QAI720928 QKE720928 QUA720928 RDW720928 RNS720928 RXO720928 SHK720928 SRG720928 TBC720928 TKY720928 TUU720928 UEQ720928 UOM720928 UYI720928 VIE720928 VSA720928 WBW720928 WLS720928 WVO720928 G786464 JC786464 SY786464 ACU786464 AMQ786464 AWM786464 BGI786464 BQE786464 CAA786464 CJW786464 CTS786464 DDO786464 DNK786464 DXG786464 EHC786464 EQY786464 FAU786464 FKQ786464 FUM786464 GEI786464 GOE786464 GYA786464 HHW786464 HRS786464 IBO786464 ILK786464 IVG786464 JFC786464 JOY786464 JYU786464 KIQ786464 KSM786464 LCI786464 LME786464 LWA786464 MFW786464 MPS786464 MZO786464 NJK786464 NTG786464 ODC786464 OMY786464 OWU786464 PGQ786464 PQM786464 QAI786464 QKE786464 QUA786464 RDW786464 RNS786464 RXO786464 SHK786464 SRG786464 TBC786464 TKY786464 TUU786464 UEQ786464 UOM786464 UYI786464 VIE786464 VSA786464 WBW786464 WLS786464 WVO786464 G852000 JC852000 SY852000 ACU852000 AMQ852000 AWM852000 BGI852000 BQE852000 CAA852000 CJW852000 CTS852000 DDO852000 DNK852000 DXG852000 EHC852000 EQY852000 FAU852000 FKQ852000 FUM852000 GEI852000 GOE852000 GYA852000 HHW852000 HRS852000 IBO852000 ILK852000 IVG852000 JFC852000 JOY852000 JYU852000 KIQ852000 KSM852000 LCI852000 LME852000 LWA852000 MFW852000 MPS852000 MZO852000 NJK852000 NTG852000 ODC852000 OMY852000 OWU852000 PGQ852000 PQM852000 QAI852000 QKE852000 QUA852000 RDW852000 RNS852000 RXO852000 SHK852000 SRG852000 TBC852000 TKY852000 TUU852000 UEQ852000 UOM852000 UYI852000 VIE852000 VSA852000 WBW852000 WLS852000 WVO852000 G917536 JC917536 SY917536 ACU917536 AMQ917536 AWM917536 BGI917536 BQE917536 CAA917536 CJW917536 CTS917536 DDO917536 DNK917536 DXG917536 EHC917536 EQY917536 FAU917536 FKQ917536 FUM917536 GEI917536 GOE917536 GYA917536 HHW917536 HRS917536 IBO917536 ILK917536 IVG917536 JFC917536 JOY917536 JYU917536 KIQ917536 KSM917536 LCI917536 LME917536 LWA917536 MFW917536 MPS917536 MZO917536 NJK917536 NTG917536 ODC917536 OMY917536 OWU917536 PGQ917536 PQM917536 QAI917536 QKE917536 QUA917536 RDW917536 RNS917536 RXO917536 SHK917536 SRG917536 TBC917536 TKY917536 TUU917536 UEQ917536 UOM917536 UYI917536 VIE917536 VSA917536 WBW917536 WLS917536 WVO917536 G983072 JC983072 SY983072 ACU983072 AMQ983072 AWM983072 BGI983072 BQE983072 CAA983072 CJW983072 CTS983072 DDO983072 DNK983072 DXG983072 EHC983072 EQY983072 FAU983072 FKQ983072 FUM983072 GEI983072 GOE983072 GYA983072 HHW983072 HRS983072 IBO983072 ILK983072 IVG983072 JFC983072 JOY983072 JYU983072 KIQ983072 KSM983072 LCI983072 LME983072 LWA983072 MFW983072 MPS983072 MZO983072 NJK983072 NTG983072 ODC983072 OMY983072 OWU983072 PGQ983072 PQM983072 QAI983072 QKE983072 QUA983072 RDW983072 RNS983072 RXO983072 SHK983072 SRG983072 TBC983072 TKY983072 TUU983072 UEQ983072 UOM983072 UYI983072 VIE983072 VSA983072 WBW983072 WLS983072 WVO983072"/>
    <dataValidation allowBlank="1" showInputMessage="1" showErrorMessage="1" promptTitle="Test Result" prompt="OK : Result is OK      _x000a_NG : Result is not as expected_x000a_NA : Not Applicable      _x000a_PT : Testing Pending (as Data not available/ cannot be generated currently)" sqref="G33 JC33 SY33 ACU33 AMQ33 AWM33 BGI33 BQE33 CAA33 CJW33 CTS33 DDO33 DNK33 DXG33 EHC33 EQY33 FAU33 FKQ33 FUM33 GEI33 GOE33 GYA33 HHW33 HRS33 IBO33 ILK33 IVG33 JFC33 JOY33 JYU33 KIQ33 KSM33 LCI33 LME33 LWA33 MFW33 MPS33 MZO33 NJK33 NTG33 ODC33 OMY33 OWU33 PGQ33 PQM33 QAI33 QKE33 QUA33 RDW33 RNS33 RXO33 SHK33 SRG33 TBC33 TKY33 TUU33 UEQ33 UOM33 UYI33 VIE33 VSA33 WBW33 WLS33 WVO33 G65569 JC65569 SY65569 ACU65569 AMQ65569 AWM65569 BGI65569 BQE65569 CAA65569 CJW65569 CTS65569 DDO65569 DNK65569 DXG65569 EHC65569 EQY65569 FAU65569 FKQ65569 FUM65569 GEI65569 GOE65569 GYA65569 HHW65569 HRS65569 IBO65569 ILK65569 IVG65569 JFC65569 JOY65569 JYU65569 KIQ65569 KSM65569 LCI65569 LME65569 LWA65569 MFW65569 MPS65569 MZO65569 NJK65569 NTG65569 ODC65569 OMY65569 OWU65569 PGQ65569 PQM65569 QAI65569 QKE65569 QUA65569 RDW65569 RNS65569 RXO65569 SHK65569 SRG65569 TBC65569 TKY65569 TUU65569 UEQ65569 UOM65569 UYI65569 VIE65569 VSA65569 WBW65569 WLS65569 WVO65569 G131105 JC131105 SY131105 ACU131105 AMQ131105 AWM131105 BGI131105 BQE131105 CAA131105 CJW131105 CTS131105 DDO131105 DNK131105 DXG131105 EHC131105 EQY131105 FAU131105 FKQ131105 FUM131105 GEI131105 GOE131105 GYA131105 HHW131105 HRS131105 IBO131105 ILK131105 IVG131105 JFC131105 JOY131105 JYU131105 KIQ131105 KSM131105 LCI131105 LME131105 LWA131105 MFW131105 MPS131105 MZO131105 NJK131105 NTG131105 ODC131105 OMY131105 OWU131105 PGQ131105 PQM131105 QAI131105 QKE131105 QUA131105 RDW131105 RNS131105 RXO131105 SHK131105 SRG131105 TBC131105 TKY131105 TUU131105 UEQ131105 UOM131105 UYI131105 VIE131105 VSA131105 WBW131105 WLS131105 WVO131105 G196641 JC196641 SY196641 ACU196641 AMQ196641 AWM196641 BGI196641 BQE196641 CAA196641 CJW196641 CTS196641 DDO196641 DNK196641 DXG196641 EHC196641 EQY196641 FAU196641 FKQ196641 FUM196641 GEI196641 GOE196641 GYA196641 HHW196641 HRS196641 IBO196641 ILK196641 IVG196641 JFC196641 JOY196641 JYU196641 KIQ196641 KSM196641 LCI196641 LME196641 LWA196641 MFW196641 MPS196641 MZO196641 NJK196641 NTG196641 ODC196641 OMY196641 OWU196641 PGQ196641 PQM196641 QAI196641 QKE196641 QUA196641 RDW196641 RNS196641 RXO196641 SHK196641 SRG196641 TBC196641 TKY196641 TUU196641 UEQ196641 UOM196641 UYI196641 VIE196641 VSA196641 WBW196641 WLS196641 WVO196641 G262177 JC262177 SY262177 ACU262177 AMQ262177 AWM262177 BGI262177 BQE262177 CAA262177 CJW262177 CTS262177 DDO262177 DNK262177 DXG262177 EHC262177 EQY262177 FAU262177 FKQ262177 FUM262177 GEI262177 GOE262177 GYA262177 HHW262177 HRS262177 IBO262177 ILK262177 IVG262177 JFC262177 JOY262177 JYU262177 KIQ262177 KSM262177 LCI262177 LME262177 LWA262177 MFW262177 MPS262177 MZO262177 NJK262177 NTG262177 ODC262177 OMY262177 OWU262177 PGQ262177 PQM262177 QAI262177 QKE262177 QUA262177 RDW262177 RNS262177 RXO262177 SHK262177 SRG262177 TBC262177 TKY262177 TUU262177 UEQ262177 UOM262177 UYI262177 VIE262177 VSA262177 WBW262177 WLS262177 WVO262177 G327713 JC327713 SY327713 ACU327713 AMQ327713 AWM327713 BGI327713 BQE327713 CAA327713 CJW327713 CTS327713 DDO327713 DNK327713 DXG327713 EHC327713 EQY327713 FAU327713 FKQ327713 FUM327713 GEI327713 GOE327713 GYA327713 HHW327713 HRS327713 IBO327713 ILK327713 IVG327713 JFC327713 JOY327713 JYU327713 KIQ327713 KSM327713 LCI327713 LME327713 LWA327713 MFW327713 MPS327713 MZO327713 NJK327713 NTG327713 ODC327713 OMY327713 OWU327713 PGQ327713 PQM327713 QAI327713 QKE327713 QUA327713 RDW327713 RNS327713 RXO327713 SHK327713 SRG327713 TBC327713 TKY327713 TUU327713 UEQ327713 UOM327713 UYI327713 VIE327713 VSA327713 WBW327713 WLS327713 WVO327713 G393249 JC393249 SY393249 ACU393249 AMQ393249 AWM393249 BGI393249 BQE393249 CAA393249 CJW393249 CTS393249 DDO393249 DNK393249 DXG393249 EHC393249 EQY393249 FAU393249 FKQ393249 FUM393249 GEI393249 GOE393249 GYA393249 HHW393249 HRS393249 IBO393249 ILK393249 IVG393249 JFC393249 JOY393249 JYU393249 KIQ393249 KSM393249 LCI393249 LME393249 LWA393249 MFW393249 MPS393249 MZO393249 NJK393249 NTG393249 ODC393249 OMY393249 OWU393249 PGQ393249 PQM393249 QAI393249 QKE393249 QUA393249 RDW393249 RNS393249 RXO393249 SHK393249 SRG393249 TBC393249 TKY393249 TUU393249 UEQ393249 UOM393249 UYI393249 VIE393249 VSA393249 WBW393249 WLS393249 WVO393249 G458785 JC458785 SY458785 ACU458785 AMQ458785 AWM458785 BGI458785 BQE458785 CAA458785 CJW458785 CTS458785 DDO458785 DNK458785 DXG458785 EHC458785 EQY458785 FAU458785 FKQ458785 FUM458785 GEI458785 GOE458785 GYA458785 HHW458785 HRS458785 IBO458785 ILK458785 IVG458785 JFC458785 JOY458785 JYU458785 KIQ458785 KSM458785 LCI458785 LME458785 LWA458785 MFW458785 MPS458785 MZO458785 NJK458785 NTG458785 ODC458785 OMY458785 OWU458785 PGQ458785 PQM458785 QAI458785 QKE458785 QUA458785 RDW458785 RNS458785 RXO458785 SHK458785 SRG458785 TBC458785 TKY458785 TUU458785 UEQ458785 UOM458785 UYI458785 VIE458785 VSA458785 WBW458785 WLS458785 WVO458785 G524321 JC524321 SY524321 ACU524321 AMQ524321 AWM524321 BGI524321 BQE524321 CAA524321 CJW524321 CTS524321 DDO524321 DNK524321 DXG524321 EHC524321 EQY524321 FAU524321 FKQ524321 FUM524321 GEI524321 GOE524321 GYA524321 HHW524321 HRS524321 IBO524321 ILK524321 IVG524321 JFC524321 JOY524321 JYU524321 KIQ524321 KSM524321 LCI524321 LME524321 LWA524321 MFW524321 MPS524321 MZO524321 NJK524321 NTG524321 ODC524321 OMY524321 OWU524321 PGQ524321 PQM524321 QAI524321 QKE524321 QUA524321 RDW524321 RNS524321 RXO524321 SHK524321 SRG524321 TBC524321 TKY524321 TUU524321 UEQ524321 UOM524321 UYI524321 VIE524321 VSA524321 WBW524321 WLS524321 WVO524321 G589857 JC589857 SY589857 ACU589857 AMQ589857 AWM589857 BGI589857 BQE589857 CAA589857 CJW589857 CTS589857 DDO589857 DNK589857 DXG589857 EHC589857 EQY589857 FAU589857 FKQ589857 FUM589857 GEI589857 GOE589857 GYA589857 HHW589857 HRS589857 IBO589857 ILK589857 IVG589857 JFC589857 JOY589857 JYU589857 KIQ589857 KSM589857 LCI589857 LME589857 LWA589857 MFW589857 MPS589857 MZO589857 NJK589857 NTG589857 ODC589857 OMY589857 OWU589857 PGQ589857 PQM589857 QAI589857 QKE589857 QUA589857 RDW589857 RNS589857 RXO589857 SHK589857 SRG589857 TBC589857 TKY589857 TUU589857 UEQ589857 UOM589857 UYI589857 VIE589857 VSA589857 WBW589857 WLS589857 WVO589857 G655393 JC655393 SY655393 ACU655393 AMQ655393 AWM655393 BGI655393 BQE655393 CAA655393 CJW655393 CTS655393 DDO655393 DNK655393 DXG655393 EHC655393 EQY655393 FAU655393 FKQ655393 FUM655393 GEI655393 GOE655393 GYA655393 HHW655393 HRS655393 IBO655393 ILK655393 IVG655393 JFC655393 JOY655393 JYU655393 KIQ655393 KSM655393 LCI655393 LME655393 LWA655393 MFW655393 MPS655393 MZO655393 NJK655393 NTG655393 ODC655393 OMY655393 OWU655393 PGQ655393 PQM655393 QAI655393 QKE655393 QUA655393 RDW655393 RNS655393 RXO655393 SHK655393 SRG655393 TBC655393 TKY655393 TUU655393 UEQ655393 UOM655393 UYI655393 VIE655393 VSA655393 WBW655393 WLS655393 WVO655393 G720929 JC720929 SY720929 ACU720929 AMQ720929 AWM720929 BGI720929 BQE720929 CAA720929 CJW720929 CTS720929 DDO720929 DNK720929 DXG720929 EHC720929 EQY720929 FAU720929 FKQ720929 FUM720929 GEI720929 GOE720929 GYA720929 HHW720929 HRS720929 IBO720929 ILK720929 IVG720929 JFC720929 JOY720929 JYU720929 KIQ720929 KSM720929 LCI720929 LME720929 LWA720929 MFW720929 MPS720929 MZO720929 NJK720929 NTG720929 ODC720929 OMY720929 OWU720929 PGQ720929 PQM720929 QAI720929 QKE720929 QUA720929 RDW720929 RNS720929 RXO720929 SHK720929 SRG720929 TBC720929 TKY720929 TUU720929 UEQ720929 UOM720929 UYI720929 VIE720929 VSA720929 WBW720929 WLS720929 WVO720929 G786465 JC786465 SY786465 ACU786465 AMQ786465 AWM786465 BGI786465 BQE786465 CAA786465 CJW786465 CTS786465 DDO786465 DNK786465 DXG786465 EHC786465 EQY786465 FAU786465 FKQ786465 FUM786465 GEI786465 GOE786465 GYA786465 HHW786465 HRS786465 IBO786465 ILK786465 IVG786465 JFC786465 JOY786465 JYU786465 KIQ786465 KSM786465 LCI786465 LME786465 LWA786465 MFW786465 MPS786465 MZO786465 NJK786465 NTG786465 ODC786465 OMY786465 OWU786465 PGQ786465 PQM786465 QAI786465 QKE786465 QUA786465 RDW786465 RNS786465 RXO786465 SHK786465 SRG786465 TBC786465 TKY786465 TUU786465 UEQ786465 UOM786465 UYI786465 VIE786465 VSA786465 WBW786465 WLS786465 WVO786465 G852001 JC852001 SY852001 ACU852001 AMQ852001 AWM852001 BGI852001 BQE852001 CAA852001 CJW852001 CTS852001 DDO852001 DNK852001 DXG852001 EHC852001 EQY852001 FAU852001 FKQ852001 FUM852001 GEI852001 GOE852001 GYA852001 HHW852001 HRS852001 IBO852001 ILK852001 IVG852001 JFC852001 JOY852001 JYU852001 KIQ852001 KSM852001 LCI852001 LME852001 LWA852001 MFW852001 MPS852001 MZO852001 NJK852001 NTG852001 ODC852001 OMY852001 OWU852001 PGQ852001 PQM852001 QAI852001 QKE852001 QUA852001 RDW852001 RNS852001 RXO852001 SHK852001 SRG852001 TBC852001 TKY852001 TUU852001 UEQ852001 UOM852001 UYI852001 VIE852001 VSA852001 WBW852001 WLS852001 WVO852001 G917537 JC917537 SY917537 ACU917537 AMQ917537 AWM917537 BGI917537 BQE917537 CAA917537 CJW917537 CTS917537 DDO917537 DNK917537 DXG917537 EHC917537 EQY917537 FAU917537 FKQ917537 FUM917537 GEI917537 GOE917537 GYA917537 HHW917537 HRS917537 IBO917537 ILK917537 IVG917537 JFC917537 JOY917537 JYU917537 KIQ917537 KSM917537 LCI917537 LME917537 LWA917537 MFW917537 MPS917537 MZO917537 NJK917537 NTG917537 ODC917537 OMY917537 OWU917537 PGQ917537 PQM917537 QAI917537 QKE917537 QUA917537 RDW917537 RNS917537 RXO917537 SHK917537 SRG917537 TBC917537 TKY917537 TUU917537 UEQ917537 UOM917537 UYI917537 VIE917537 VSA917537 WBW917537 WLS917537 WVO917537 G983073 JC983073 SY983073 ACU983073 AMQ983073 AWM983073 BGI983073 BQE983073 CAA983073 CJW983073 CTS983073 DDO983073 DNK983073 DXG983073 EHC983073 EQY983073 FAU983073 FKQ983073 FUM983073 GEI983073 GOE983073 GYA983073 HHW983073 HRS983073 IBO983073 ILK983073 IVG983073 JFC983073 JOY983073 JYU983073 KIQ983073 KSM983073 LCI983073 LME983073 LWA983073 MFW983073 MPS983073 MZO983073 NJK983073 NTG983073 ODC983073 OMY983073 OWU983073 PGQ983073 PQM983073 QAI983073 QKE983073 QUA983073 RDW983073 RNS983073 RXO983073 SHK983073 SRG983073 TBC983073 TKY983073 TUU983073 UEQ983073 UOM983073 UYI983073 VIE983073 VSA983073 WBW983073 WLS983073 WVO983073"/>
    <dataValidation allowBlank="1" showInputMessage="1" showErrorMessage="1" promptTitle="Bug ID" prompt="Unique ID throughout the project._x000a_For every Bug found during Test as well as Re-Test, a new Bug ID needs to be entered here (as a comma seperated value)" sqref="B34:E34 IX34:JA34 ST34:SW34 ACP34:ACS34 AML34:AMO34 AWH34:AWK34 BGD34:BGG34 BPZ34:BQC34 BZV34:BZY34 CJR34:CJU34 CTN34:CTQ34 DDJ34:DDM34 DNF34:DNI34 DXB34:DXE34 EGX34:EHA34 EQT34:EQW34 FAP34:FAS34 FKL34:FKO34 FUH34:FUK34 GED34:GEG34 GNZ34:GOC34 GXV34:GXY34 HHR34:HHU34 HRN34:HRQ34 IBJ34:IBM34 ILF34:ILI34 IVB34:IVE34 JEX34:JFA34 JOT34:JOW34 JYP34:JYS34 KIL34:KIO34 KSH34:KSK34 LCD34:LCG34 LLZ34:LMC34 LVV34:LVY34 MFR34:MFU34 MPN34:MPQ34 MZJ34:MZM34 NJF34:NJI34 NTB34:NTE34 OCX34:ODA34 OMT34:OMW34 OWP34:OWS34 PGL34:PGO34 PQH34:PQK34 QAD34:QAG34 QJZ34:QKC34 QTV34:QTY34 RDR34:RDU34 RNN34:RNQ34 RXJ34:RXM34 SHF34:SHI34 SRB34:SRE34 TAX34:TBA34 TKT34:TKW34 TUP34:TUS34 UEL34:UEO34 UOH34:UOK34 UYD34:UYG34 VHZ34:VIC34 VRV34:VRY34 WBR34:WBU34 WLN34:WLQ34 WVJ34:WVM34 B65570:E65570 IX65570:JA65570 ST65570:SW65570 ACP65570:ACS65570 AML65570:AMO65570 AWH65570:AWK65570 BGD65570:BGG65570 BPZ65570:BQC65570 BZV65570:BZY65570 CJR65570:CJU65570 CTN65570:CTQ65570 DDJ65570:DDM65570 DNF65570:DNI65570 DXB65570:DXE65570 EGX65570:EHA65570 EQT65570:EQW65570 FAP65570:FAS65570 FKL65570:FKO65570 FUH65570:FUK65570 GED65570:GEG65570 GNZ65570:GOC65570 GXV65570:GXY65570 HHR65570:HHU65570 HRN65570:HRQ65570 IBJ65570:IBM65570 ILF65570:ILI65570 IVB65570:IVE65570 JEX65570:JFA65570 JOT65570:JOW65570 JYP65570:JYS65570 KIL65570:KIO65570 KSH65570:KSK65570 LCD65570:LCG65570 LLZ65570:LMC65570 LVV65570:LVY65570 MFR65570:MFU65570 MPN65570:MPQ65570 MZJ65570:MZM65570 NJF65570:NJI65570 NTB65570:NTE65570 OCX65570:ODA65570 OMT65570:OMW65570 OWP65570:OWS65570 PGL65570:PGO65570 PQH65570:PQK65570 QAD65570:QAG65570 QJZ65570:QKC65570 QTV65570:QTY65570 RDR65570:RDU65570 RNN65570:RNQ65570 RXJ65570:RXM65570 SHF65570:SHI65570 SRB65570:SRE65570 TAX65570:TBA65570 TKT65570:TKW65570 TUP65570:TUS65570 UEL65570:UEO65570 UOH65570:UOK65570 UYD65570:UYG65570 VHZ65570:VIC65570 VRV65570:VRY65570 WBR65570:WBU65570 WLN65570:WLQ65570 WVJ65570:WVM65570 B131106:E131106 IX131106:JA131106 ST131106:SW131106 ACP131106:ACS131106 AML131106:AMO131106 AWH131106:AWK131106 BGD131106:BGG131106 BPZ131106:BQC131106 BZV131106:BZY131106 CJR131106:CJU131106 CTN131106:CTQ131106 DDJ131106:DDM131106 DNF131106:DNI131106 DXB131106:DXE131106 EGX131106:EHA131106 EQT131106:EQW131106 FAP131106:FAS131106 FKL131106:FKO131106 FUH131106:FUK131106 GED131106:GEG131106 GNZ131106:GOC131106 GXV131106:GXY131106 HHR131106:HHU131106 HRN131106:HRQ131106 IBJ131106:IBM131106 ILF131106:ILI131106 IVB131106:IVE131106 JEX131106:JFA131106 JOT131106:JOW131106 JYP131106:JYS131106 KIL131106:KIO131106 KSH131106:KSK131106 LCD131106:LCG131106 LLZ131106:LMC131106 LVV131106:LVY131106 MFR131106:MFU131106 MPN131106:MPQ131106 MZJ131106:MZM131106 NJF131106:NJI131106 NTB131106:NTE131106 OCX131106:ODA131106 OMT131106:OMW131106 OWP131106:OWS131106 PGL131106:PGO131106 PQH131106:PQK131106 QAD131106:QAG131106 QJZ131106:QKC131106 QTV131106:QTY131106 RDR131106:RDU131106 RNN131106:RNQ131106 RXJ131106:RXM131106 SHF131106:SHI131106 SRB131106:SRE131106 TAX131106:TBA131106 TKT131106:TKW131106 TUP131106:TUS131106 UEL131106:UEO131106 UOH131106:UOK131106 UYD131106:UYG131106 VHZ131106:VIC131106 VRV131106:VRY131106 WBR131106:WBU131106 WLN131106:WLQ131106 WVJ131106:WVM131106 B196642:E196642 IX196642:JA196642 ST196642:SW196642 ACP196642:ACS196642 AML196642:AMO196642 AWH196642:AWK196642 BGD196642:BGG196642 BPZ196642:BQC196642 BZV196642:BZY196642 CJR196642:CJU196642 CTN196642:CTQ196642 DDJ196642:DDM196642 DNF196642:DNI196642 DXB196642:DXE196642 EGX196642:EHA196642 EQT196642:EQW196642 FAP196642:FAS196642 FKL196642:FKO196642 FUH196642:FUK196642 GED196642:GEG196642 GNZ196642:GOC196642 GXV196642:GXY196642 HHR196642:HHU196642 HRN196642:HRQ196642 IBJ196642:IBM196642 ILF196642:ILI196642 IVB196642:IVE196642 JEX196642:JFA196642 JOT196642:JOW196642 JYP196642:JYS196642 KIL196642:KIO196642 KSH196642:KSK196642 LCD196642:LCG196642 LLZ196642:LMC196642 LVV196642:LVY196642 MFR196642:MFU196642 MPN196642:MPQ196642 MZJ196642:MZM196642 NJF196642:NJI196642 NTB196642:NTE196642 OCX196642:ODA196642 OMT196642:OMW196642 OWP196642:OWS196642 PGL196642:PGO196642 PQH196642:PQK196642 QAD196642:QAG196642 QJZ196642:QKC196642 QTV196642:QTY196642 RDR196642:RDU196642 RNN196642:RNQ196642 RXJ196642:RXM196642 SHF196642:SHI196642 SRB196642:SRE196642 TAX196642:TBA196642 TKT196642:TKW196642 TUP196642:TUS196642 UEL196642:UEO196642 UOH196642:UOK196642 UYD196642:UYG196642 VHZ196642:VIC196642 VRV196642:VRY196642 WBR196642:WBU196642 WLN196642:WLQ196642 WVJ196642:WVM196642 B262178:E262178 IX262178:JA262178 ST262178:SW262178 ACP262178:ACS262178 AML262178:AMO262178 AWH262178:AWK262178 BGD262178:BGG262178 BPZ262178:BQC262178 BZV262178:BZY262178 CJR262178:CJU262178 CTN262178:CTQ262178 DDJ262178:DDM262178 DNF262178:DNI262178 DXB262178:DXE262178 EGX262178:EHA262178 EQT262178:EQW262178 FAP262178:FAS262178 FKL262178:FKO262178 FUH262178:FUK262178 GED262178:GEG262178 GNZ262178:GOC262178 GXV262178:GXY262178 HHR262178:HHU262178 HRN262178:HRQ262178 IBJ262178:IBM262178 ILF262178:ILI262178 IVB262178:IVE262178 JEX262178:JFA262178 JOT262178:JOW262178 JYP262178:JYS262178 KIL262178:KIO262178 KSH262178:KSK262178 LCD262178:LCG262178 LLZ262178:LMC262178 LVV262178:LVY262178 MFR262178:MFU262178 MPN262178:MPQ262178 MZJ262178:MZM262178 NJF262178:NJI262178 NTB262178:NTE262178 OCX262178:ODA262178 OMT262178:OMW262178 OWP262178:OWS262178 PGL262178:PGO262178 PQH262178:PQK262178 QAD262178:QAG262178 QJZ262178:QKC262178 QTV262178:QTY262178 RDR262178:RDU262178 RNN262178:RNQ262178 RXJ262178:RXM262178 SHF262178:SHI262178 SRB262178:SRE262178 TAX262178:TBA262178 TKT262178:TKW262178 TUP262178:TUS262178 UEL262178:UEO262178 UOH262178:UOK262178 UYD262178:UYG262178 VHZ262178:VIC262178 VRV262178:VRY262178 WBR262178:WBU262178 WLN262178:WLQ262178 WVJ262178:WVM262178 B327714:E327714 IX327714:JA327714 ST327714:SW327714 ACP327714:ACS327714 AML327714:AMO327714 AWH327714:AWK327714 BGD327714:BGG327714 BPZ327714:BQC327714 BZV327714:BZY327714 CJR327714:CJU327714 CTN327714:CTQ327714 DDJ327714:DDM327714 DNF327714:DNI327714 DXB327714:DXE327714 EGX327714:EHA327714 EQT327714:EQW327714 FAP327714:FAS327714 FKL327714:FKO327714 FUH327714:FUK327714 GED327714:GEG327714 GNZ327714:GOC327714 GXV327714:GXY327714 HHR327714:HHU327714 HRN327714:HRQ327714 IBJ327714:IBM327714 ILF327714:ILI327714 IVB327714:IVE327714 JEX327714:JFA327714 JOT327714:JOW327714 JYP327714:JYS327714 KIL327714:KIO327714 KSH327714:KSK327714 LCD327714:LCG327714 LLZ327714:LMC327714 LVV327714:LVY327714 MFR327714:MFU327714 MPN327714:MPQ327714 MZJ327714:MZM327714 NJF327714:NJI327714 NTB327714:NTE327714 OCX327714:ODA327714 OMT327714:OMW327714 OWP327714:OWS327714 PGL327714:PGO327714 PQH327714:PQK327714 QAD327714:QAG327714 QJZ327714:QKC327714 QTV327714:QTY327714 RDR327714:RDU327714 RNN327714:RNQ327714 RXJ327714:RXM327714 SHF327714:SHI327714 SRB327714:SRE327714 TAX327714:TBA327714 TKT327714:TKW327714 TUP327714:TUS327714 UEL327714:UEO327714 UOH327714:UOK327714 UYD327714:UYG327714 VHZ327714:VIC327714 VRV327714:VRY327714 WBR327714:WBU327714 WLN327714:WLQ327714 WVJ327714:WVM327714 B393250:E393250 IX393250:JA393250 ST393250:SW393250 ACP393250:ACS393250 AML393250:AMO393250 AWH393250:AWK393250 BGD393250:BGG393250 BPZ393250:BQC393250 BZV393250:BZY393250 CJR393250:CJU393250 CTN393250:CTQ393250 DDJ393250:DDM393250 DNF393250:DNI393250 DXB393250:DXE393250 EGX393250:EHA393250 EQT393250:EQW393250 FAP393250:FAS393250 FKL393250:FKO393250 FUH393250:FUK393250 GED393250:GEG393250 GNZ393250:GOC393250 GXV393250:GXY393250 HHR393250:HHU393250 HRN393250:HRQ393250 IBJ393250:IBM393250 ILF393250:ILI393250 IVB393250:IVE393250 JEX393250:JFA393250 JOT393250:JOW393250 JYP393250:JYS393250 KIL393250:KIO393250 KSH393250:KSK393250 LCD393250:LCG393250 LLZ393250:LMC393250 LVV393250:LVY393250 MFR393250:MFU393250 MPN393250:MPQ393250 MZJ393250:MZM393250 NJF393250:NJI393250 NTB393250:NTE393250 OCX393250:ODA393250 OMT393250:OMW393250 OWP393250:OWS393250 PGL393250:PGO393250 PQH393250:PQK393250 QAD393250:QAG393250 QJZ393250:QKC393250 QTV393250:QTY393250 RDR393250:RDU393250 RNN393250:RNQ393250 RXJ393250:RXM393250 SHF393250:SHI393250 SRB393250:SRE393250 TAX393250:TBA393250 TKT393250:TKW393250 TUP393250:TUS393250 UEL393250:UEO393250 UOH393250:UOK393250 UYD393250:UYG393250 VHZ393250:VIC393250 VRV393250:VRY393250 WBR393250:WBU393250 WLN393250:WLQ393250 WVJ393250:WVM393250 B458786:E458786 IX458786:JA458786 ST458786:SW458786 ACP458786:ACS458786 AML458786:AMO458786 AWH458786:AWK458786 BGD458786:BGG458786 BPZ458786:BQC458786 BZV458786:BZY458786 CJR458786:CJU458786 CTN458786:CTQ458786 DDJ458786:DDM458786 DNF458786:DNI458786 DXB458786:DXE458786 EGX458786:EHA458786 EQT458786:EQW458786 FAP458786:FAS458786 FKL458786:FKO458786 FUH458786:FUK458786 GED458786:GEG458786 GNZ458786:GOC458786 GXV458786:GXY458786 HHR458786:HHU458786 HRN458786:HRQ458786 IBJ458786:IBM458786 ILF458786:ILI458786 IVB458786:IVE458786 JEX458786:JFA458786 JOT458786:JOW458786 JYP458786:JYS458786 KIL458786:KIO458786 KSH458786:KSK458786 LCD458786:LCG458786 LLZ458786:LMC458786 LVV458786:LVY458786 MFR458786:MFU458786 MPN458786:MPQ458786 MZJ458786:MZM458786 NJF458786:NJI458786 NTB458786:NTE458786 OCX458786:ODA458786 OMT458786:OMW458786 OWP458786:OWS458786 PGL458786:PGO458786 PQH458786:PQK458786 QAD458786:QAG458786 QJZ458786:QKC458786 QTV458786:QTY458786 RDR458786:RDU458786 RNN458786:RNQ458786 RXJ458786:RXM458786 SHF458786:SHI458786 SRB458786:SRE458786 TAX458786:TBA458786 TKT458786:TKW458786 TUP458786:TUS458786 UEL458786:UEO458786 UOH458786:UOK458786 UYD458786:UYG458786 VHZ458786:VIC458786 VRV458786:VRY458786 WBR458786:WBU458786 WLN458786:WLQ458786 WVJ458786:WVM458786 B524322:E524322 IX524322:JA524322 ST524322:SW524322 ACP524322:ACS524322 AML524322:AMO524322 AWH524322:AWK524322 BGD524322:BGG524322 BPZ524322:BQC524322 BZV524322:BZY524322 CJR524322:CJU524322 CTN524322:CTQ524322 DDJ524322:DDM524322 DNF524322:DNI524322 DXB524322:DXE524322 EGX524322:EHA524322 EQT524322:EQW524322 FAP524322:FAS524322 FKL524322:FKO524322 FUH524322:FUK524322 GED524322:GEG524322 GNZ524322:GOC524322 GXV524322:GXY524322 HHR524322:HHU524322 HRN524322:HRQ524322 IBJ524322:IBM524322 ILF524322:ILI524322 IVB524322:IVE524322 JEX524322:JFA524322 JOT524322:JOW524322 JYP524322:JYS524322 KIL524322:KIO524322 KSH524322:KSK524322 LCD524322:LCG524322 LLZ524322:LMC524322 LVV524322:LVY524322 MFR524322:MFU524322 MPN524322:MPQ524322 MZJ524322:MZM524322 NJF524322:NJI524322 NTB524322:NTE524322 OCX524322:ODA524322 OMT524322:OMW524322 OWP524322:OWS524322 PGL524322:PGO524322 PQH524322:PQK524322 QAD524322:QAG524322 QJZ524322:QKC524322 QTV524322:QTY524322 RDR524322:RDU524322 RNN524322:RNQ524322 RXJ524322:RXM524322 SHF524322:SHI524322 SRB524322:SRE524322 TAX524322:TBA524322 TKT524322:TKW524322 TUP524322:TUS524322 UEL524322:UEO524322 UOH524322:UOK524322 UYD524322:UYG524322 VHZ524322:VIC524322 VRV524322:VRY524322 WBR524322:WBU524322 WLN524322:WLQ524322 WVJ524322:WVM524322 B589858:E589858 IX589858:JA589858 ST589858:SW589858 ACP589858:ACS589858 AML589858:AMO589858 AWH589858:AWK589858 BGD589858:BGG589858 BPZ589858:BQC589858 BZV589858:BZY589858 CJR589858:CJU589858 CTN589858:CTQ589858 DDJ589858:DDM589858 DNF589858:DNI589858 DXB589858:DXE589858 EGX589858:EHA589858 EQT589858:EQW589858 FAP589858:FAS589858 FKL589858:FKO589858 FUH589858:FUK589858 GED589858:GEG589858 GNZ589858:GOC589858 GXV589858:GXY589858 HHR589858:HHU589858 HRN589858:HRQ589858 IBJ589858:IBM589858 ILF589858:ILI589858 IVB589858:IVE589858 JEX589858:JFA589858 JOT589858:JOW589858 JYP589858:JYS589858 KIL589858:KIO589858 KSH589858:KSK589858 LCD589858:LCG589858 LLZ589858:LMC589858 LVV589858:LVY589858 MFR589858:MFU589858 MPN589858:MPQ589858 MZJ589858:MZM589858 NJF589858:NJI589858 NTB589858:NTE589858 OCX589858:ODA589858 OMT589858:OMW589858 OWP589858:OWS589858 PGL589858:PGO589858 PQH589858:PQK589858 QAD589858:QAG589858 QJZ589858:QKC589858 QTV589858:QTY589858 RDR589858:RDU589858 RNN589858:RNQ589858 RXJ589858:RXM589858 SHF589858:SHI589858 SRB589858:SRE589858 TAX589858:TBA589858 TKT589858:TKW589858 TUP589858:TUS589858 UEL589858:UEO589858 UOH589858:UOK589858 UYD589858:UYG589858 VHZ589858:VIC589858 VRV589858:VRY589858 WBR589858:WBU589858 WLN589858:WLQ589858 WVJ589858:WVM589858 B655394:E655394 IX655394:JA655394 ST655394:SW655394 ACP655394:ACS655394 AML655394:AMO655394 AWH655394:AWK655394 BGD655394:BGG655394 BPZ655394:BQC655394 BZV655394:BZY655394 CJR655394:CJU655394 CTN655394:CTQ655394 DDJ655394:DDM655394 DNF655394:DNI655394 DXB655394:DXE655394 EGX655394:EHA655394 EQT655394:EQW655394 FAP655394:FAS655394 FKL655394:FKO655394 FUH655394:FUK655394 GED655394:GEG655394 GNZ655394:GOC655394 GXV655394:GXY655394 HHR655394:HHU655394 HRN655394:HRQ655394 IBJ655394:IBM655394 ILF655394:ILI655394 IVB655394:IVE655394 JEX655394:JFA655394 JOT655394:JOW655394 JYP655394:JYS655394 KIL655394:KIO655394 KSH655394:KSK655394 LCD655394:LCG655394 LLZ655394:LMC655394 LVV655394:LVY655394 MFR655394:MFU655394 MPN655394:MPQ655394 MZJ655394:MZM655394 NJF655394:NJI655394 NTB655394:NTE655394 OCX655394:ODA655394 OMT655394:OMW655394 OWP655394:OWS655394 PGL655394:PGO655394 PQH655394:PQK655394 QAD655394:QAG655394 QJZ655394:QKC655394 QTV655394:QTY655394 RDR655394:RDU655394 RNN655394:RNQ655394 RXJ655394:RXM655394 SHF655394:SHI655394 SRB655394:SRE655394 TAX655394:TBA655394 TKT655394:TKW655394 TUP655394:TUS655394 UEL655394:UEO655394 UOH655394:UOK655394 UYD655394:UYG655394 VHZ655394:VIC655394 VRV655394:VRY655394 WBR655394:WBU655394 WLN655394:WLQ655394 WVJ655394:WVM655394 B720930:E720930 IX720930:JA720930 ST720930:SW720930 ACP720930:ACS720930 AML720930:AMO720930 AWH720930:AWK720930 BGD720930:BGG720930 BPZ720930:BQC720930 BZV720930:BZY720930 CJR720930:CJU720930 CTN720930:CTQ720930 DDJ720930:DDM720930 DNF720930:DNI720930 DXB720930:DXE720930 EGX720930:EHA720930 EQT720930:EQW720930 FAP720930:FAS720930 FKL720930:FKO720930 FUH720930:FUK720930 GED720930:GEG720930 GNZ720930:GOC720930 GXV720930:GXY720930 HHR720930:HHU720930 HRN720930:HRQ720930 IBJ720930:IBM720930 ILF720930:ILI720930 IVB720930:IVE720930 JEX720930:JFA720930 JOT720930:JOW720930 JYP720930:JYS720930 KIL720930:KIO720930 KSH720930:KSK720930 LCD720930:LCG720930 LLZ720930:LMC720930 LVV720930:LVY720930 MFR720930:MFU720930 MPN720930:MPQ720930 MZJ720930:MZM720930 NJF720930:NJI720930 NTB720930:NTE720930 OCX720930:ODA720930 OMT720930:OMW720930 OWP720930:OWS720930 PGL720930:PGO720930 PQH720930:PQK720930 QAD720930:QAG720930 QJZ720930:QKC720930 QTV720930:QTY720930 RDR720930:RDU720930 RNN720930:RNQ720930 RXJ720930:RXM720930 SHF720930:SHI720930 SRB720930:SRE720930 TAX720930:TBA720930 TKT720930:TKW720930 TUP720930:TUS720930 UEL720930:UEO720930 UOH720930:UOK720930 UYD720930:UYG720930 VHZ720930:VIC720930 VRV720930:VRY720930 WBR720930:WBU720930 WLN720930:WLQ720930 WVJ720930:WVM720930 B786466:E786466 IX786466:JA786466 ST786466:SW786466 ACP786466:ACS786466 AML786466:AMO786466 AWH786466:AWK786466 BGD786466:BGG786466 BPZ786466:BQC786466 BZV786466:BZY786466 CJR786466:CJU786466 CTN786466:CTQ786466 DDJ786466:DDM786466 DNF786466:DNI786466 DXB786466:DXE786466 EGX786466:EHA786466 EQT786466:EQW786466 FAP786466:FAS786466 FKL786466:FKO786466 FUH786466:FUK786466 GED786466:GEG786466 GNZ786466:GOC786466 GXV786466:GXY786466 HHR786466:HHU786466 HRN786466:HRQ786466 IBJ786466:IBM786466 ILF786466:ILI786466 IVB786466:IVE786466 JEX786466:JFA786466 JOT786466:JOW786466 JYP786466:JYS786466 KIL786466:KIO786466 KSH786466:KSK786466 LCD786466:LCG786466 LLZ786466:LMC786466 LVV786466:LVY786466 MFR786466:MFU786466 MPN786466:MPQ786466 MZJ786466:MZM786466 NJF786466:NJI786466 NTB786466:NTE786466 OCX786466:ODA786466 OMT786466:OMW786466 OWP786466:OWS786466 PGL786466:PGO786466 PQH786466:PQK786466 QAD786466:QAG786466 QJZ786466:QKC786466 QTV786466:QTY786466 RDR786466:RDU786466 RNN786466:RNQ786466 RXJ786466:RXM786466 SHF786466:SHI786466 SRB786466:SRE786466 TAX786466:TBA786466 TKT786466:TKW786466 TUP786466:TUS786466 UEL786466:UEO786466 UOH786466:UOK786466 UYD786466:UYG786466 VHZ786466:VIC786466 VRV786466:VRY786466 WBR786466:WBU786466 WLN786466:WLQ786466 WVJ786466:WVM786466 B852002:E852002 IX852002:JA852002 ST852002:SW852002 ACP852002:ACS852002 AML852002:AMO852002 AWH852002:AWK852002 BGD852002:BGG852002 BPZ852002:BQC852002 BZV852002:BZY852002 CJR852002:CJU852002 CTN852002:CTQ852002 DDJ852002:DDM852002 DNF852002:DNI852002 DXB852002:DXE852002 EGX852002:EHA852002 EQT852002:EQW852002 FAP852002:FAS852002 FKL852002:FKO852002 FUH852002:FUK852002 GED852002:GEG852002 GNZ852002:GOC852002 GXV852002:GXY852002 HHR852002:HHU852002 HRN852002:HRQ852002 IBJ852002:IBM852002 ILF852002:ILI852002 IVB852002:IVE852002 JEX852002:JFA852002 JOT852002:JOW852002 JYP852002:JYS852002 KIL852002:KIO852002 KSH852002:KSK852002 LCD852002:LCG852002 LLZ852002:LMC852002 LVV852002:LVY852002 MFR852002:MFU852002 MPN852002:MPQ852002 MZJ852002:MZM852002 NJF852002:NJI852002 NTB852002:NTE852002 OCX852002:ODA852002 OMT852002:OMW852002 OWP852002:OWS852002 PGL852002:PGO852002 PQH852002:PQK852002 QAD852002:QAG852002 QJZ852002:QKC852002 QTV852002:QTY852002 RDR852002:RDU852002 RNN852002:RNQ852002 RXJ852002:RXM852002 SHF852002:SHI852002 SRB852002:SRE852002 TAX852002:TBA852002 TKT852002:TKW852002 TUP852002:TUS852002 UEL852002:UEO852002 UOH852002:UOK852002 UYD852002:UYG852002 VHZ852002:VIC852002 VRV852002:VRY852002 WBR852002:WBU852002 WLN852002:WLQ852002 WVJ852002:WVM852002 B917538:E917538 IX917538:JA917538 ST917538:SW917538 ACP917538:ACS917538 AML917538:AMO917538 AWH917538:AWK917538 BGD917538:BGG917538 BPZ917538:BQC917538 BZV917538:BZY917538 CJR917538:CJU917538 CTN917538:CTQ917538 DDJ917538:DDM917538 DNF917538:DNI917538 DXB917538:DXE917538 EGX917538:EHA917538 EQT917538:EQW917538 FAP917538:FAS917538 FKL917538:FKO917538 FUH917538:FUK917538 GED917538:GEG917538 GNZ917538:GOC917538 GXV917538:GXY917538 HHR917538:HHU917538 HRN917538:HRQ917538 IBJ917538:IBM917538 ILF917538:ILI917538 IVB917538:IVE917538 JEX917538:JFA917538 JOT917538:JOW917538 JYP917538:JYS917538 KIL917538:KIO917538 KSH917538:KSK917538 LCD917538:LCG917538 LLZ917538:LMC917538 LVV917538:LVY917538 MFR917538:MFU917538 MPN917538:MPQ917538 MZJ917538:MZM917538 NJF917538:NJI917538 NTB917538:NTE917538 OCX917538:ODA917538 OMT917538:OMW917538 OWP917538:OWS917538 PGL917538:PGO917538 PQH917538:PQK917538 QAD917538:QAG917538 QJZ917538:QKC917538 QTV917538:QTY917538 RDR917538:RDU917538 RNN917538:RNQ917538 RXJ917538:RXM917538 SHF917538:SHI917538 SRB917538:SRE917538 TAX917538:TBA917538 TKT917538:TKW917538 TUP917538:TUS917538 UEL917538:UEO917538 UOH917538:UOK917538 UYD917538:UYG917538 VHZ917538:VIC917538 VRV917538:VRY917538 WBR917538:WBU917538 WLN917538:WLQ917538 WVJ917538:WVM917538 B983074:E983074 IX983074:JA983074 ST983074:SW983074 ACP983074:ACS983074 AML983074:AMO983074 AWH983074:AWK983074 BGD983074:BGG983074 BPZ983074:BQC983074 BZV983074:BZY983074 CJR983074:CJU983074 CTN983074:CTQ983074 DDJ983074:DDM983074 DNF983074:DNI983074 DXB983074:DXE983074 EGX983074:EHA983074 EQT983074:EQW983074 FAP983074:FAS983074 FKL983074:FKO983074 FUH983074:FUK983074 GED983074:GEG983074 GNZ983074:GOC983074 GXV983074:GXY983074 HHR983074:HHU983074 HRN983074:HRQ983074 IBJ983074:IBM983074 ILF983074:ILI983074 IVB983074:IVE983074 JEX983074:JFA983074 JOT983074:JOW983074 JYP983074:JYS983074 KIL983074:KIO983074 KSH983074:KSK983074 LCD983074:LCG983074 LLZ983074:LMC983074 LVV983074:LVY983074 MFR983074:MFU983074 MPN983074:MPQ983074 MZJ983074:MZM983074 NJF983074:NJI983074 NTB983074:NTE983074 OCX983074:ODA983074 OMT983074:OMW983074 OWP983074:OWS983074 PGL983074:PGO983074 PQH983074:PQK983074 QAD983074:QAG983074 QJZ983074:QKC983074 QTV983074:QTY983074 RDR983074:RDU983074 RNN983074:RNQ983074 RXJ983074:RXM983074 SHF983074:SHI983074 SRB983074:SRE983074 TAX983074:TBA983074 TKT983074:TKW983074 TUP983074:TUS983074 UEL983074:UEO983074 UOH983074:UOK983074 UYD983074:UYG983074 VHZ983074:VIC983074 VRV983074:VRY983074 WBR983074:WBU983074 WLN983074:WLQ983074 WVJ983074:WVM983074"/>
    <dataValidation allowBlank="1" showInputMessage="1" showErrorMessage="1" promptTitle="PCL sheet name" prompt=" " sqref="F34:G34 JB34:JC34 SX34:SY34 ACT34:ACU34 AMP34:AMQ34 AWL34:AWM34 BGH34:BGI34 BQD34:BQE34 BZZ34:CAA34 CJV34:CJW34 CTR34:CTS34 DDN34:DDO34 DNJ34:DNK34 DXF34:DXG34 EHB34:EHC34 EQX34:EQY34 FAT34:FAU34 FKP34:FKQ34 FUL34:FUM34 GEH34:GEI34 GOD34:GOE34 GXZ34:GYA34 HHV34:HHW34 HRR34:HRS34 IBN34:IBO34 ILJ34:ILK34 IVF34:IVG34 JFB34:JFC34 JOX34:JOY34 JYT34:JYU34 KIP34:KIQ34 KSL34:KSM34 LCH34:LCI34 LMD34:LME34 LVZ34:LWA34 MFV34:MFW34 MPR34:MPS34 MZN34:MZO34 NJJ34:NJK34 NTF34:NTG34 ODB34:ODC34 OMX34:OMY34 OWT34:OWU34 PGP34:PGQ34 PQL34:PQM34 QAH34:QAI34 QKD34:QKE34 QTZ34:QUA34 RDV34:RDW34 RNR34:RNS34 RXN34:RXO34 SHJ34:SHK34 SRF34:SRG34 TBB34:TBC34 TKX34:TKY34 TUT34:TUU34 UEP34:UEQ34 UOL34:UOM34 UYH34:UYI34 VID34:VIE34 VRZ34:VSA34 WBV34:WBW34 WLR34:WLS34 WVN34:WVO34 F65570:G65570 JB65570:JC65570 SX65570:SY65570 ACT65570:ACU65570 AMP65570:AMQ65570 AWL65570:AWM65570 BGH65570:BGI65570 BQD65570:BQE65570 BZZ65570:CAA65570 CJV65570:CJW65570 CTR65570:CTS65570 DDN65570:DDO65570 DNJ65570:DNK65570 DXF65570:DXG65570 EHB65570:EHC65570 EQX65570:EQY65570 FAT65570:FAU65570 FKP65570:FKQ65570 FUL65570:FUM65570 GEH65570:GEI65570 GOD65570:GOE65570 GXZ65570:GYA65570 HHV65570:HHW65570 HRR65570:HRS65570 IBN65570:IBO65570 ILJ65570:ILK65570 IVF65570:IVG65570 JFB65570:JFC65570 JOX65570:JOY65570 JYT65570:JYU65570 KIP65570:KIQ65570 KSL65570:KSM65570 LCH65570:LCI65570 LMD65570:LME65570 LVZ65570:LWA65570 MFV65570:MFW65570 MPR65570:MPS65570 MZN65570:MZO65570 NJJ65570:NJK65570 NTF65570:NTG65570 ODB65570:ODC65570 OMX65570:OMY65570 OWT65570:OWU65570 PGP65570:PGQ65570 PQL65570:PQM65570 QAH65570:QAI65570 QKD65570:QKE65570 QTZ65570:QUA65570 RDV65570:RDW65570 RNR65570:RNS65570 RXN65570:RXO65570 SHJ65570:SHK65570 SRF65570:SRG65570 TBB65570:TBC65570 TKX65570:TKY65570 TUT65570:TUU65570 UEP65570:UEQ65570 UOL65570:UOM65570 UYH65570:UYI65570 VID65570:VIE65570 VRZ65570:VSA65570 WBV65570:WBW65570 WLR65570:WLS65570 WVN65570:WVO65570 F131106:G131106 JB131106:JC131106 SX131106:SY131106 ACT131106:ACU131106 AMP131106:AMQ131106 AWL131106:AWM131106 BGH131106:BGI131106 BQD131106:BQE131106 BZZ131106:CAA131106 CJV131106:CJW131106 CTR131106:CTS131106 DDN131106:DDO131106 DNJ131106:DNK131106 DXF131106:DXG131106 EHB131106:EHC131106 EQX131106:EQY131106 FAT131106:FAU131106 FKP131106:FKQ131106 FUL131106:FUM131106 GEH131106:GEI131106 GOD131106:GOE131106 GXZ131106:GYA131106 HHV131106:HHW131106 HRR131106:HRS131106 IBN131106:IBO131106 ILJ131106:ILK131106 IVF131106:IVG131106 JFB131106:JFC131106 JOX131106:JOY131106 JYT131106:JYU131106 KIP131106:KIQ131106 KSL131106:KSM131106 LCH131106:LCI131106 LMD131106:LME131106 LVZ131106:LWA131106 MFV131106:MFW131106 MPR131106:MPS131106 MZN131106:MZO131106 NJJ131106:NJK131106 NTF131106:NTG131106 ODB131106:ODC131106 OMX131106:OMY131106 OWT131106:OWU131106 PGP131106:PGQ131106 PQL131106:PQM131106 QAH131106:QAI131106 QKD131106:QKE131106 QTZ131106:QUA131106 RDV131106:RDW131106 RNR131106:RNS131106 RXN131106:RXO131106 SHJ131106:SHK131106 SRF131106:SRG131106 TBB131106:TBC131106 TKX131106:TKY131106 TUT131106:TUU131106 UEP131106:UEQ131106 UOL131106:UOM131106 UYH131106:UYI131106 VID131106:VIE131106 VRZ131106:VSA131106 WBV131106:WBW131106 WLR131106:WLS131106 WVN131106:WVO131106 F196642:G196642 JB196642:JC196642 SX196642:SY196642 ACT196642:ACU196642 AMP196642:AMQ196642 AWL196642:AWM196642 BGH196642:BGI196642 BQD196642:BQE196642 BZZ196642:CAA196642 CJV196642:CJW196642 CTR196642:CTS196642 DDN196642:DDO196642 DNJ196642:DNK196642 DXF196642:DXG196642 EHB196642:EHC196642 EQX196642:EQY196642 FAT196642:FAU196642 FKP196642:FKQ196642 FUL196642:FUM196642 GEH196642:GEI196642 GOD196642:GOE196642 GXZ196642:GYA196642 HHV196642:HHW196642 HRR196642:HRS196642 IBN196642:IBO196642 ILJ196642:ILK196642 IVF196642:IVG196642 JFB196642:JFC196642 JOX196642:JOY196642 JYT196642:JYU196642 KIP196642:KIQ196642 KSL196642:KSM196642 LCH196642:LCI196642 LMD196642:LME196642 LVZ196642:LWA196642 MFV196642:MFW196642 MPR196642:MPS196642 MZN196642:MZO196642 NJJ196642:NJK196642 NTF196642:NTG196642 ODB196642:ODC196642 OMX196642:OMY196642 OWT196642:OWU196642 PGP196642:PGQ196642 PQL196642:PQM196642 QAH196642:QAI196642 QKD196642:QKE196642 QTZ196642:QUA196642 RDV196642:RDW196642 RNR196642:RNS196642 RXN196642:RXO196642 SHJ196642:SHK196642 SRF196642:SRG196642 TBB196642:TBC196642 TKX196642:TKY196642 TUT196642:TUU196642 UEP196642:UEQ196642 UOL196642:UOM196642 UYH196642:UYI196642 VID196642:VIE196642 VRZ196642:VSA196642 WBV196642:WBW196642 WLR196642:WLS196642 WVN196642:WVO196642 F262178:G262178 JB262178:JC262178 SX262178:SY262178 ACT262178:ACU262178 AMP262178:AMQ262178 AWL262178:AWM262178 BGH262178:BGI262178 BQD262178:BQE262178 BZZ262178:CAA262178 CJV262178:CJW262178 CTR262178:CTS262178 DDN262178:DDO262178 DNJ262178:DNK262178 DXF262178:DXG262178 EHB262178:EHC262178 EQX262178:EQY262178 FAT262178:FAU262178 FKP262178:FKQ262178 FUL262178:FUM262178 GEH262178:GEI262178 GOD262178:GOE262178 GXZ262178:GYA262178 HHV262178:HHW262178 HRR262178:HRS262178 IBN262178:IBO262178 ILJ262178:ILK262178 IVF262178:IVG262178 JFB262178:JFC262178 JOX262178:JOY262178 JYT262178:JYU262178 KIP262178:KIQ262178 KSL262178:KSM262178 LCH262178:LCI262178 LMD262178:LME262178 LVZ262178:LWA262178 MFV262178:MFW262178 MPR262178:MPS262178 MZN262178:MZO262178 NJJ262178:NJK262178 NTF262178:NTG262178 ODB262178:ODC262178 OMX262178:OMY262178 OWT262178:OWU262178 PGP262178:PGQ262178 PQL262178:PQM262178 QAH262178:QAI262178 QKD262178:QKE262178 QTZ262178:QUA262178 RDV262178:RDW262178 RNR262178:RNS262178 RXN262178:RXO262178 SHJ262178:SHK262178 SRF262178:SRG262178 TBB262178:TBC262178 TKX262178:TKY262178 TUT262178:TUU262178 UEP262178:UEQ262178 UOL262178:UOM262178 UYH262178:UYI262178 VID262178:VIE262178 VRZ262178:VSA262178 WBV262178:WBW262178 WLR262178:WLS262178 WVN262178:WVO262178 F327714:G327714 JB327714:JC327714 SX327714:SY327714 ACT327714:ACU327714 AMP327714:AMQ327714 AWL327714:AWM327714 BGH327714:BGI327714 BQD327714:BQE327714 BZZ327714:CAA327714 CJV327714:CJW327714 CTR327714:CTS327714 DDN327714:DDO327714 DNJ327714:DNK327714 DXF327714:DXG327714 EHB327714:EHC327714 EQX327714:EQY327714 FAT327714:FAU327714 FKP327714:FKQ327714 FUL327714:FUM327714 GEH327714:GEI327714 GOD327714:GOE327714 GXZ327714:GYA327714 HHV327714:HHW327714 HRR327714:HRS327714 IBN327714:IBO327714 ILJ327714:ILK327714 IVF327714:IVG327714 JFB327714:JFC327714 JOX327714:JOY327714 JYT327714:JYU327714 KIP327714:KIQ327714 KSL327714:KSM327714 LCH327714:LCI327714 LMD327714:LME327714 LVZ327714:LWA327714 MFV327714:MFW327714 MPR327714:MPS327714 MZN327714:MZO327714 NJJ327714:NJK327714 NTF327714:NTG327714 ODB327714:ODC327714 OMX327714:OMY327714 OWT327714:OWU327714 PGP327714:PGQ327714 PQL327714:PQM327714 QAH327714:QAI327714 QKD327714:QKE327714 QTZ327714:QUA327714 RDV327714:RDW327714 RNR327714:RNS327714 RXN327714:RXO327714 SHJ327714:SHK327714 SRF327714:SRG327714 TBB327714:TBC327714 TKX327714:TKY327714 TUT327714:TUU327714 UEP327714:UEQ327714 UOL327714:UOM327714 UYH327714:UYI327714 VID327714:VIE327714 VRZ327714:VSA327714 WBV327714:WBW327714 WLR327714:WLS327714 WVN327714:WVO327714 F393250:G393250 JB393250:JC393250 SX393250:SY393250 ACT393250:ACU393250 AMP393250:AMQ393250 AWL393250:AWM393250 BGH393250:BGI393250 BQD393250:BQE393250 BZZ393250:CAA393250 CJV393250:CJW393250 CTR393250:CTS393250 DDN393250:DDO393250 DNJ393250:DNK393250 DXF393250:DXG393250 EHB393250:EHC393250 EQX393250:EQY393250 FAT393250:FAU393250 FKP393250:FKQ393250 FUL393250:FUM393250 GEH393250:GEI393250 GOD393250:GOE393250 GXZ393250:GYA393250 HHV393250:HHW393250 HRR393250:HRS393250 IBN393250:IBO393250 ILJ393250:ILK393250 IVF393250:IVG393250 JFB393250:JFC393250 JOX393250:JOY393250 JYT393250:JYU393250 KIP393250:KIQ393250 KSL393250:KSM393250 LCH393250:LCI393250 LMD393250:LME393250 LVZ393250:LWA393250 MFV393250:MFW393250 MPR393250:MPS393250 MZN393250:MZO393250 NJJ393250:NJK393250 NTF393250:NTG393250 ODB393250:ODC393250 OMX393250:OMY393250 OWT393250:OWU393250 PGP393250:PGQ393250 PQL393250:PQM393250 QAH393250:QAI393250 QKD393250:QKE393250 QTZ393250:QUA393250 RDV393250:RDW393250 RNR393250:RNS393250 RXN393250:RXO393250 SHJ393250:SHK393250 SRF393250:SRG393250 TBB393250:TBC393250 TKX393250:TKY393250 TUT393250:TUU393250 UEP393250:UEQ393250 UOL393250:UOM393250 UYH393250:UYI393250 VID393250:VIE393250 VRZ393250:VSA393250 WBV393250:WBW393250 WLR393250:WLS393250 WVN393250:WVO393250 F458786:G458786 JB458786:JC458786 SX458786:SY458786 ACT458786:ACU458786 AMP458786:AMQ458786 AWL458786:AWM458786 BGH458786:BGI458786 BQD458786:BQE458786 BZZ458786:CAA458786 CJV458786:CJW458786 CTR458786:CTS458786 DDN458786:DDO458786 DNJ458786:DNK458786 DXF458786:DXG458786 EHB458786:EHC458786 EQX458786:EQY458786 FAT458786:FAU458786 FKP458786:FKQ458786 FUL458786:FUM458786 GEH458786:GEI458786 GOD458786:GOE458786 GXZ458786:GYA458786 HHV458786:HHW458786 HRR458786:HRS458786 IBN458786:IBO458786 ILJ458786:ILK458786 IVF458786:IVG458786 JFB458786:JFC458786 JOX458786:JOY458786 JYT458786:JYU458786 KIP458786:KIQ458786 KSL458786:KSM458786 LCH458786:LCI458786 LMD458786:LME458786 LVZ458786:LWA458786 MFV458786:MFW458786 MPR458786:MPS458786 MZN458786:MZO458786 NJJ458786:NJK458786 NTF458786:NTG458786 ODB458786:ODC458786 OMX458786:OMY458786 OWT458786:OWU458786 PGP458786:PGQ458786 PQL458786:PQM458786 QAH458786:QAI458786 QKD458786:QKE458786 QTZ458786:QUA458786 RDV458786:RDW458786 RNR458786:RNS458786 RXN458786:RXO458786 SHJ458786:SHK458786 SRF458786:SRG458786 TBB458786:TBC458786 TKX458786:TKY458786 TUT458786:TUU458786 UEP458786:UEQ458786 UOL458786:UOM458786 UYH458786:UYI458786 VID458786:VIE458786 VRZ458786:VSA458786 WBV458786:WBW458786 WLR458786:WLS458786 WVN458786:WVO458786 F524322:G524322 JB524322:JC524322 SX524322:SY524322 ACT524322:ACU524322 AMP524322:AMQ524322 AWL524322:AWM524322 BGH524322:BGI524322 BQD524322:BQE524322 BZZ524322:CAA524322 CJV524322:CJW524322 CTR524322:CTS524322 DDN524322:DDO524322 DNJ524322:DNK524322 DXF524322:DXG524322 EHB524322:EHC524322 EQX524322:EQY524322 FAT524322:FAU524322 FKP524322:FKQ524322 FUL524322:FUM524322 GEH524322:GEI524322 GOD524322:GOE524322 GXZ524322:GYA524322 HHV524322:HHW524322 HRR524322:HRS524322 IBN524322:IBO524322 ILJ524322:ILK524322 IVF524322:IVG524322 JFB524322:JFC524322 JOX524322:JOY524322 JYT524322:JYU524322 KIP524322:KIQ524322 KSL524322:KSM524322 LCH524322:LCI524322 LMD524322:LME524322 LVZ524322:LWA524322 MFV524322:MFW524322 MPR524322:MPS524322 MZN524322:MZO524322 NJJ524322:NJK524322 NTF524322:NTG524322 ODB524322:ODC524322 OMX524322:OMY524322 OWT524322:OWU524322 PGP524322:PGQ524322 PQL524322:PQM524322 QAH524322:QAI524322 QKD524322:QKE524322 QTZ524322:QUA524322 RDV524322:RDW524322 RNR524322:RNS524322 RXN524322:RXO524322 SHJ524322:SHK524322 SRF524322:SRG524322 TBB524322:TBC524322 TKX524322:TKY524322 TUT524322:TUU524322 UEP524322:UEQ524322 UOL524322:UOM524322 UYH524322:UYI524322 VID524322:VIE524322 VRZ524322:VSA524322 WBV524322:WBW524322 WLR524322:WLS524322 WVN524322:WVO524322 F589858:G589858 JB589858:JC589858 SX589858:SY589858 ACT589858:ACU589858 AMP589858:AMQ589858 AWL589858:AWM589858 BGH589858:BGI589858 BQD589858:BQE589858 BZZ589858:CAA589858 CJV589858:CJW589858 CTR589858:CTS589858 DDN589858:DDO589858 DNJ589858:DNK589858 DXF589858:DXG589858 EHB589858:EHC589858 EQX589858:EQY589858 FAT589858:FAU589858 FKP589858:FKQ589858 FUL589858:FUM589858 GEH589858:GEI589858 GOD589858:GOE589858 GXZ589858:GYA589858 HHV589858:HHW589858 HRR589858:HRS589858 IBN589858:IBO589858 ILJ589858:ILK589858 IVF589858:IVG589858 JFB589858:JFC589858 JOX589858:JOY589858 JYT589858:JYU589858 KIP589858:KIQ589858 KSL589858:KSM589858 LCH589858:LCI589858 LMD589858:LME589858 LVZ589858:LWA589858 MFV589858:MFW589858 MPR589858:MPS589858 MZN589858:MZO589858 NJJ589858:NJK589858 NTF589858:NTG589858 ODB589858:ODC589858 OMX589858:OMY589858 OWT589858:OWU589858 PGP589858:PGQ589858 PQL589858:PQM589858 QAH589858:QAI589858 QKD589858:QKE589858 QTZ589858:QUA589858 RDV589858:RDW589858 RNR589858:RNS589858 RXN589858:RXO589858 SHJ589858:SHK589858 SRF589858:SRG589858 TBB589858:TBC589858 TKX589858:TKY589858 TUT589858:TUU589858 UEP589858:UEQ589858 UOL589858:UOM589858 UYH589858:UYI589858 VID589858:VIE589858 VRZ589858:VSA589858 WBV589858:WBW589858 WLR589858:WLS589858 WVN589858:WVO589858 F655394:G655394 JB655394:JC655394 SX655394:SY655394 ACT655394:ACU655394 AMP655394:AMQ655394 AWL655394:AWM655394 BGH655394:BGI655394 BQD655394:BQE655394 BZZ655394:CAA655394 CJV655394:CJW655394 CTR655394:CTS655394 DDN655394:DDO655394 DNJ655394:DNK655394 DXF655394:DXG655394 EHB655394:EHC655394 EQX655394:EQY655394 FAT655394:FAU655394 FKP655394:FKQ655394 FUL655394:FUM655394 GEH655394:GEI655394 GOD655394:GOE655394 GXZ655394:GYA655394 HHV655394:HHW655394 HRR655394:HRS655394 IBN655394:IBO655394 ILJ655394:ILK655394 IVF655394:IVG655394 JFB655394:JFC655394 JOX655394:JOY655394 JYT655394:JYU655394 KIP655394:KIQ655394 KSL655394:KSM655394 LCH655394:LCI655394 LMD655394:LME655394 LVZ655394:LWA655394 MFV655394:MFW655394 MPR655394:MPS655394 MZN655394:MZO655394 NJJ655394:NJK655394 NTF655394:NTG655394 ODB655394:ODC655394 OMX655394:OMY655394 OWT655394:OWU655394 PGP655394:PGQ655394 PQL655394:PQM655394 QAH655394:QAI655394 QKD655394:QKE655394 QTZ655394:QUA655394 RDV655394:RDW655394 RNR655394:RNS655394 RXN655394:RXO655394 SHJ655394:SHK655394 SRF655394:SRG655394 TBB655394:TBC655394 TKX655394:TKY655394 TUT655394:TUU655394 UEP655394:UEQ655394 UOL655394:UOM655394 UYH655394:UYI655394 VID655394:VIE655394 VRZ655394:VSA655394 WBV655394:WBW655394 WLR655394:WLS655394 WVN655394:WVO655394 F720930:G720930 JB720930:JC720930 SX720930:SY720930 ACT720930:ACU720930 AMP720930:AMQ720930 AWL720930:AWM720930 BGH720930:BGI720930 BQD720930:BQE720930 BZZ720930:CAA720930 CJV720930:CJW720930 CTR720930:CTS720930 DDN720930:DDO720930 DNJ720930:DNK720930 DXF720930:DXG720930 EHB720930:EHC720930 EQX720930:EQY720930 FAT720930:FAU720930 FKP720930:FKQ720930 FUL720930:FUM720930 GEH720930:GEI720930 GOD720930:GOE720930 GXZ720930:GYA720930 HHV720930:HHW720930 HRR720930:HRS720930 IBN720930:IBO720930 ILJ720930:ILK720930 IVF720930:IVG720930 JFB720930:JFC720930 JOX720930:JOY720930 JYT720930:JYU720930 KIP720930:KIQ720930 KSL720930:KSM720930 LCH720930:LCI720930 LMD720930:LME720930 LVZ720930:LWA720930 MFV720930:MFW720930 MPR720930:MPS720930 MZN720930:MZO720930 NJJ720930:NJK720930 NTF720930:NTG720930 ODB720930:ODC720930 OMX720930:OMY720930 OWT720930:OWU720930 PGP720930:PGQ720930 PQL720930:PQM720930 QAH720930:QAI720930 QKD720930:QKE720930 QTZ720930:QUA720930 RDV720930:RDW720930 RNR720930:RNS720930 RXN720930:RXO720930 SHJ720930:SHK720930 SRF720930:SRG720930 TBB720930:TBC720930 TKX720930:TKY720930 TUT720930:TUU720930 UEP720930:UEQ720930 UOL720930:UOM720930 UYH720930:UYI720930 VID720930:VIE720930 VRZ720930:VSA720930 WBV720930:WBW720930 WLR720930:WLS720930 WVN720930:WVO720930 F786466:G786466 JB786466:JC786466 SX786466:SY786466 ACT786466:ACU786466 AMP786466:AMQ786466 AWL786466:AWM786466 BGH786466:BGI786466 BQD786466:BQE786466 BZZ786466:CAA786466 CJV786466:CJW786466 CTR786466:CTS786466 DDN786466:DDO786466 DNJ786466:DNK786466 DXF786466:DXG786466 EHB786466:EHC786466 EQX786466:EQY786466 FAT786466:FAU786466 FKP786466:FKQ786466 FUL786466:FUM786466 GEH786466:GEI786466 GOD786466:GOE786466 GXZ786466:GYA786466 HHV786466:HHW786466 HRR786466:HRS786466 IBN786466:IBO786466 ILJ786466:ILK786466 IVF786466:IVG786466 JFB786466:JFC786466 JOX786466:JOY786466 JYT786466:JYU786466 KIP786466:KIQ786466 KSL786466:KSM786466 LCH786466:LCI786466 LMD786466:LME786466 LVZ786466:LWA786466 MFV786466:MFW786466 MPR786466:MPS786466 MZN786466:MZO786466 NJJ786466:NJK786466 NTF786466:NTG786466 ODB786466:ODC786466 OMX786466:OMY786466 OWT786466:OWU786466 PGP786466:PGQ786466 PQL786466:PQM786466 QAH786466:QAI786466 QKD786466:QKE786466 QTZ786466:QUA786466 RDV786466:RDW786466 RNR786466:RNS786466 RXN786466:RXO786466 SHJ786466:SHK786466 SRF786466:SRG786466 TBB786466:TBC786466 TKX786466:TKY786466 TUT786466:TUU786466 UEP786466:UEQ786466 UOL786466:UOM786466 UYH786466:UYI786466 VID786466:VIE786466 VRZ786466:VSA786466 WBV786466:WBW786466 WLR786466:WLS786466 WVN786466:WVO786466 F852002:G852002 JB852002:JC852002 SX852002:SY852002 ACT852002:ACU852002 AMP852002:AMQ852002 AWL852002:AWM852002 BGH852002:BGI852002 BQD852002:BQE852002 BZZ852002:CAA852002 CJV852002:CJW852002 CTR852002:CTS852002 DDN852002:DDO852002 DNJ852002:DNK852002 DXF852002:DXG852002 EHB852002:EHC852002 EQX852002:EQY852002 FAT852002:FAU852002 FKP852002:FKQ852002 FUL852002:FUM852002 GEH852002:GEI852002 GOD852002:GOE852002 GXZ852002:GYA852002 HHV852002:HHW852002 HRR852002:HRS852002 IBN852002:IBO852002 ILJ852002:ILK852002 IVF852002:IVG852002 JFB852002:JFC852002 JOX852002:JOY852002 JYT852002:JYU852002 KIP852002:KIQ852002 KSL852002:KSM852002 LCH852002:LCI852002 LMD852002:LME852002 LVZ852002:LWA852002 MFV852002:MFW852002 MPR852002:MPS852002 MZN852002:MZO852002 NJJ852002:NJK852002 NTF852002:NTG852002 ODB852002:ODC852002 OMX852002:OMY852002 OWT852002:OWU852002 PGP852002:PGQ852002 PQL852002:PQM852002 QAH852002:QAI852002 QKD852002:QKE852002 QTZ852002:QUA852002 RDV852002:RDW852002 RNR852002:RNS852002 RXN852002:RXO852002 SHJ852002:SHK852002 SRF852002:SRG852002 TBB852002:TBC852002 TKX852002:TKY852002 TUT852002:TUU852002 UEP852002:UEQ852002 UOL852002:UOM852002 UYH852002:UYI852002 VID852002:VIE852002 VRZ852002:VSA852002 WBV852002:WBW852002 WLR852002:WLS852002 WVN852002:WVO852002 F917538:G917538 JB917538:JC917538 SX917538:SY917538 ACT917538:ACU917538 AMP917538:AMQ917538 AWL917538:AWM917538 BGH917538:BGI917538 BQD917538:BQE917538 BZZ917538:CAA917538 CJV917538:CJW917538 CTR917538:CTS917538 DDN917538:DDO917538 DNJ917538:DNK917538 DXF917538:DXG917538 EHB917538:EHC917538 EQX917538:EQY917538 FAT917538:FAU917538 FKP917538:FKQ917538 FUL917538:FUM917538 GEH917538:GEI917538 GOD917538:GOE917538 GXZ917538:GYA917538 HHV917538:HHW917538 HRR917538:HRS917538 IBN917538:IBO917538 ILJ917538:ILK917538 IVF917538:IVG917538 JFB917538:JFC917538 JOX917538:JOY917538 JYT917538:JYU917538 KIP917538:KIQ917538 KSL917538:KSM917538 LCH917538:LCI917538 LMD917538:LME917538 LVZ917538:LWA917538 MFV917538:MFW917538 MPR917538:MPS917538 MZN917538:MZO917538 NJJ917538:NJK917538 NTF917538:NTG917538 ODB917538:ODC917538 OMX917538:OMY917538 OWT917538:OWU917538 PGP917538:PGQ917538 PQL917538:PQM917538 QAH917538:QAI917538 QKD917538:QKE917538 QTZ917538:QUA917538 RDV917538:RDW917538 RNR917538:RNS917538 RXN917538:RXO917538 SHJ917538:SHK917538 SRF917538:SRG917538 TBB917538:TBC917538 TKX917538:TKY917538 TUT917538:TUU917538 UEP917538:UEQ917538 UOL917538:UOM917538 UYH917538:UYI917538 VID917538:VIE917538 VRZ917538:VSA917538 WBV917538:WBW917538 WLR917538:WLS917538 WVN917538:WVO917538 F983074:G983074 JB983074:JC983074 SX983074:SY983074 ACT983074:ACU983074 AMP983074:AMQ983074 AWL983074:AWM983074 BGH983074:BGI983074 BQD983074:BQE983074 BZZ983074:CAA983074 CJV983074:CJW983074 CTR983074:CTS983074 DDN983074:DDO983074 DNJ983074:DNK983074 DXF983074:DXG983074 EHB983074:EHC983074 EQX983074:EQY983074 FAT983074:FAU983074 FKP983074:FKQ983074 FUL983074:FUM983074 GEH983074:GEI983074 GOD983074:GOE983074 GXZ983074:GYA983074 HHV983074:HHW983074 HRR983074:HRS983074 IBN983074:IBO983074 ILJ983074:ILK983074 IVF983074:IVG983074 JFB983074:JFC983074 JOX983074:JOY983074 JYT983074:JYU983074 KIP983074:KIQ983074 KSL983074:KSM983074 LCH983074:LCI983074 LMD983074:LME983074 LVZ983074:LWA983074 MFV983074:MFW983074 MPR983074:MPS983074 MZN983074:MZO983074 NJJ983074:NJK983074 NTF983074:NTG983074 ODB983074:ODC983074 OMX983074:OMY983074 OWT983074:OWU983074 PGP983074:PGQ983074 PQL983074:PQM983074 QAH983074:QAI983074 QKD983074:QKE983074 QTZ983074:QUA983074 RDV983074:RDW983074 RNR983074:RNS983074 RXN983074:RXO983074 SHJ983074:SHK983074 SRF983074:SRG983074 TBB983074:TBC983074 TKX983074:TKY983074 TUT983074:TUU983074 UEP983074:UEQ983074 UOL983074:UOM983074 UYH983074:UYI983074 VID983074:VIE983074 VRZ983074:VSA983074 WBV983074:WBW983074 WLR983074:WLS983074 WVN983074:WVO983074"/>
    <dataValidation type="list" allowBlank="1" showInputMessage="1" showErrorMessage="1" sqref="H33:AF33 JD33:KB33 SZ33:TX33 ACV33:ADT33 AMR33:ANP33 AWN33:AXL33 BGJ33:BHH33 BQF33:BRD33 CAB33:CAZ33 CJX33:CKV33 CTT33:CUR33 DDP33:DEN33 DNL33:DOJ33 DXH33:DYF33 EHD33:EIB33 EQZ33:ERX33 FAV33:FBT33 FKR33:FLP33 FUN33:FVL33 GEJ33:GFH33 GOF33:GPD33 GYB33:GYZ33 HHX33:HIV33 HRT33:HSR33 IBP33:ICN33 ILL33:IMJ33 IVH33:IWF33 JFD33:JGB33 JOZ33:JPX33 JYV33:JZT33 KIR33:KJP33 KSN33:KTL33 LCJ33:LDH33 LMF33:LND33 LWB33:LWZ33 MFX33:MGV33 MPT33:MQR33 MZP33:NAN33 NJL33:NKJ33 NTH33:NUF33 ODD33:OEB33 OMZ33:ONX33 OWV33:OXT33 PGR33:PHP33 PQN33:PRL33 QAJ33:QBH33 QKF33:QLD33 QUB33:QUZ33 RDX33:REV33 RNT33:ROR33 RXP33:RYN33 SHL33:SIJ33 SRH33:SSF33 TBD33:TCB33 TKZ33:TLX33 TUV33:TVT33 UER33:UFP33 UON33:UPL33 UYJ33:UZH33 VIF33:VJD33 VSB33:VSZ33 WBX33:WCV33 WLT33:WMR33 WVP33:WWN33 H65569:AF65569 JD65569:KB65569 SZ65569:TX65569 ACV65569:ADT65569 AMR65569:ANP65569 AWN65569:AXL65569 BGJ65569:BHH65569 BQF65569:BRD65569 CAB65569:CAZ65569 CJX65569:CKV65569 CTT65569:CUR65569 DDP65569:DEN65569 DNL65569:DOJ65569 DXH65569:DYF65569 EHD65569:EIB65569 EQZ65569:ERX65569 FAV65569:FBT65569 FKR65569:FLP65569 FUN65569:FVL65569 GEJ65569:GFH65569 GOF65569:GPD65569 GYB65569:GYZ65569 HHX65569:HIV65569 HRT65569:HSR65569 IBP65569:ICN65569 ILL65569:IMJ65569 IVH65569:IWF65569 JFD65569:JGB65569 JOZ65569:JPX65569 JYV65569:JZT65569 KIR65569:KJP65569 KSN65569:KTL65569 LCJ65569:LDH65569 LMF65569:LND65569 LWB65569:LWZ65569 MFX65569:MGV65569 MPT65569:MQR65569 MZP65569:NAN65569 NJL65569:NKJ65569 NTH65569:NUF65569 ODD65569:OEB65569 OMZ65569:ONX65569 OWV65569:OXT65569 PGR65569:PHP65569 PQN65569:PRL65569 QAJ65569:QBH65569 QKF65569:QLD65569 QUB65569:QUZ65569 RDX65569:REV65569 RNT65569:ROR65569 RXP65569:RYN65569 SHL65569:SIJ65569 SRH65569:SSF65569 TBD65569:TCB65569 TKZ65569:TLX65569 TUV65569:TVT65569 UER65569:UFP65569 UON65569:UPL65569 UYJ65569:UZH65569 VIF65569:VJD65569 VSB65569:VSZ65569 WBX65569:WCV65569 WLT65569:WMR65569 WVP65569:WWN65569 H131105:AF131105 JD131105:KB131105 SZ131105:TX131105 ACV131105:ADT131105 AMR131105:ANP131105 AWN131105:AXL131105 BGJ131105:BHH131105 BQF131105:BRD131105 CAB131105:CAZ131105 CJX131105:CKV131105 CTT131105:CUR131105 DDP131105:DEN131105 DNL131105:DOJ131105 DXH131105:DYF131105 EHD131105:EIB131105 EQZ131105:ERX131105 FAV131105:FBT131105 FKR131105:FLP131105 FUN131105:FVL131105 GEJ131105:GFH131105 GOF131105:GPD131105 GYB131105:GYZ131105 HHX131105:HIV131105 HRT131105:HSR131105 IBP131105:ICN131105 ILL131105:IMJ131105 IVH131105:IWF131105 JFD131105:JGB131105 JOZ131105:JPX131105 JYV131105:JZT131105 KIR131105:KJP131105 KSN131105:KTL131105 LCJ131105:LDH131105 LMF131105:LND131105 LWB131105:LWZ131105 MFX131105:MGV131105 MPT131105:MQR131105 MZP131105:NAN131105 NJL131105:NKJ131105 NTH131105:NUF131105 ODD131105:OEB131105 OMZ131105:ONX131105 OWV131105:OXT131105 PGR131105:PHP131105 PQN131105:PRL131105 QAJ131105:QBH131105 QKF131105:QLD131105 QUB131105:QUZ131105 RDX131105:REV131105 RNT131105:ROR131105 RXP131105:RYN131105 SHL131105:SIJ131105 SRH131105:SSF131105 TBD131105:TCB131105 TKZ131105:TLX131105 TUV131105:TVT131105 UER131105:UFP131105 UON131105:UPL131105 UYJ131105:UZH131105 VIF131105:VJD131105 VSB131105:VSZ131105 WBX131105:WCV131105 WLT131105:WMR131105 WVP131105:WWN131105 H196641:AF196641 JD196641:KB196641 SZ196641:TX196641 ACV196641:ADT196641 AMR196641:ANP196641 AWN196641:AXL196641 BGJ196641:BHH196641 BQF196641:BRD196641 CAB196641:CAZ196641 CJX196641:CKV196641 CTT196641:CUR196641 DDP196641:DEN196641 DNL196641:DOJ196641 DXH196641:DYF196641 EHD196641:EIB196641 EQZ196641:ERX196641 FAV196641:FBT196641 FKR196641:FLP196641 FUN196641:FVL196641 GEJ196641:GFH196641 GOF196641:GPD196641 GYB196641:GYZ196641 HHX196641:HIV196641 HRT196641:HSR196641 IBP196641:ICN196641 ILL196641:IMJ196641 IVH196641:IWF196641 JFD196641:JGB196641 JOZ196641:JPX196641 JYV196641:JZT196641 KIR196641:KJP196641 KSN196641:KTL196641 LCJ196641:LDH196641 LMF196641:LND196641 LWB196641:LWZ196641 MFX196641:MGV196641 MPT196641:MQR196641 MZP196641:NAN196641 NJL196641:NKJ196641 NTH196641:NUF196641 ODD196641:OEB196641 OMZ196641:ONX196641 OWV196641:OXT196641 PGR196641:PHP196641 PQN196641:PRL196641 QAJ196641:QBH196641 QKF196641:QLD196641 QUB196641:QUZ196641 RDX196641:REV196641 RNT196641:ROR196641 RXP196641:RYN196641 SHL196641:SIJ196641 SRH196641:SSF196641 TBD196641:TCB196641 TKZ196641:TLX196641 TUV196641:TVT196641 UER196641:UFP196641 UON196641:UPL196641 UYJ196641:UZH196641 VIF196641:VJD196641 VSB196641:VSZ196641 WBX196641:WCV196641 WLT196641:WMR196641 WVP196641:WWN196641 H262177:AF262177 JD262177:KB262177 SZ262177:TX262177 ACV262177:ADT262177 AMR262177:ANP262177 AWN262177:AXL262177 BGJ262177:BHH262177 BQF262177:BRD262177 CAB262177:CAZ262177 CJX262177:CKV262177 CTT262177:CUR262177 DDP262177:DEN262177 DNL262177:DOJ262177 DXH262177:DYF262177 EHD262177:EIB262177 EQZ262177:ERX262177 FAV262177:FBT262177 FKR262177:FLP262177 FUN262177:FVL262177 GEJ262177:GFH262177 GOF262177:GPD262177 GYB262177:GYZ262177 HHX262177:HIV262177 HRT262177:HSR262177 IBP262177:ICN262177 ILL262177:IMJ262177 IVH262177:IWF262177 JFD262177:JGB262177 JOZ262177:JPX262177 JYV262177:JZT262177 KIR262177:KJP262177 KSN262177:KTL262177 LCJ262177:LDH262177 LMF262177:LND262177 LWB262177:LWZ262177 MFX262177:MGV262177 MPT262177:MQR262177 MZP262177:NAN262177 NJL262177:NKJ262177 NTH262177:NUF262177 ODD262177:OEB262177 OMZ262177:ONX262177 OWV262177:OXT262177 PGR262177:PHP262177 PQN262177:PRL262177 QAJ262177:QBH262177 QKF262177:QLD262177 QUB262177:QUZ262177 RDX262177:REV262177 RNT262177:ROR262177 RXP262177:RYN262177 SHL262177:SIJ262177 SRH262177:SSF262177 TBD262177:TCB262177 TKZ262177:TLX262177 TUV262177:TVT262177 UER262177:UFP262177 UON262177:UPL262177 UYJ262177:UZH262177 VIF262177:VJD262177 VSB262177:VSZ262177 WBX262177:WCV262177 WLT262177:WMR262177 WVP262177:WWN262177 H327713:AF327713 JD327713:KB327713 SZ327713:TX327713 ACV327713:ADT327713 AMR327713:ANP327713 AWN327713:AXL327713 BGJ327713:BHH327713 BQF327713:BRD327713 CAB327713:CAZ327713 CJX327713:CKV327713 CTT327713:CUR327713 DDP327713:DEN327713 DNL327713:DOJ327713 DXH327713:DYF327713 EHD327713:EIB327713 EQZ327713:ERX327713 FAV327713:FBT327713 FKR327713:FLP327713 FUN327713:FVL327713 GEJ327713:GFH327713 GOF327713:GPD327713 GYB327713:GYZ327713 HHX327713:HIV327713 HRT327713:HSR327713 IBP327713:ICN327713 ILL327713:IMJ327713 IVH327713:IWF327713 JFD327713:JGB327713 JOZ327713:JPX327713 JYV327713:JZT327713 KIR327713:KJP327713 KSN327713:KTL327713 LCJ327713:LDH327713 LMF327713:LND327713 LWB327713:LWZ327713 MFX327713:MGV327713 MPT327713:MQR327713 MZP327713:NAN327713 NJL327713:NKJ327713 NTH327713:NUF327713 ODD327713:OEB327713 OMZ327713:ONX327713 OWV327713:OXT327713 PGR327713:PHP327713 PQN327713:PRL327713 QAJ327713:QBH327713 QKF327713:QLD327713 QUB327713:QUZ327713 RDX327713:REV327713 RNT327713:ROR327713 RXP327713:RYN327713 SHL327713:SIJ327713 SRH327713:SSF327713 TBD327713:TCB327713 TKZ327713:TLX327713 TUV327713:TVT327713 UER327713:UFP327713 UON327713:UPL327713 UYJ327713:UZH327713 VIF327713:VJD327713 VSB327713:VSZ327713 WBX327713:WCV327713 WLT327713:WMR327713 WVP327713:WWN327713 H393249:AF393249 JD393249:KB393249 SZ393249:TX393249 ACV393249:ADT393249 AMR393249:ANP393249 AWN393249:AXL393249 BGJ393249:BHH393249 BQF393249:BRD393249 CAB393249:CAZ393249 CJX393249:CKV393249 CTT393249:CUR393249 DDP393249:DEN393249 DNL393249:DOJ393249 DXH393249:DYF393249 EHD393249:EIB393249 EQZ393249:ERX393249 FAV393249:FBT393249 FKR393249:FLP393249 FUN393249:FVL393249 GEJ393249:GFH393249 GOF393249:GPD393249 GYB393249:GYZ393249 HHX393249:HIV393249 HRT393249:HSR393249 IBP393249:ICN393249 ILL393249:IMJ393249 IVH393249:IWF393249 JFD393249:JGB393249 JOZ393249:JPX393249 JYV393249:JZT393249 KIR393249:KJP393249 KSN393249:KTL393249 LCJ393249:LDH393249 LMF393249:LND393249 LWB393249:LWZ393249 MFX393249:MGV393249 MPT393249:MQR393249 MZP393249:NAN393249 NJL393249:NKJ393249 NTH393249:NUF393249 ODD393249:OEB393249 OMZ393249:ONX393249 OWV393249:OXT393249 PGR393249:PHP393249 PQN393249:PRL393249 QAJ393249:QBH393249 QKF393249:QLD393249 QUB393249:QUZ393249 RDX393249:REV393249 RNT393249:ROR393249 RXP393249:RYN393249 SHL393249:SIJ393249 SRH393249:SSF393249 TBD393249:TCB393249 TKZ393249:TLX393249 TUV393249:TVT393249 UER393249:UFP393249 UON393249:UPL393249 UYJ393249:UZH393249 VIF393249:VJD393249 VSB393249:VSZ393249 WBX393249:WCV393249 WLT393249:WMR393249 WVP393249:WWN393249 H458785:AF458785 JD458785:KB458785 SZ458785:TX458785 ACV458785:ADT458785 AMR458785:ANP458785 AWN458785:AXL458785 BGJ458785:BHH458785 BQF458785:BRD458785 CAB458785:CAZ458785 CJX458785:CKV458785 CTT458785:CUR458785 DDP458785:DEN458785 DNL458785:DOJ458785 DXH458785:DYF458785 EHD458785:EIB458785 EQZ458785:ERX458785 FAV458785:FBT458785 FKR458785:FLP458785 FUN458785:FVL458785 GEJ458785:GFH458785 GOF458785:GPD458785 GYB458785:GYZ458785 HHX458785:HIV458785 HRT458785:HSR458785 IBP458785:ICN458785 ILL458785:IMJ458785 IVH458785:IWF458785 JFD458785:JGB458785 JOZ458785:JPX458785 JYV458785:JZT458785 KIR458785:KJP458785 KSN458785:KTL458785 LCJ458785:LDH458785 LMF458785:LND458785 LWB458785:LWZ458785 MFX458785:MGV458785 MPT458785:MQR458785 MZP458785:NAN458785 NJL458785:NKJ458785 NTH458785:NUF458785 ODD458785:OEB458785 OMZ458785:ONX458785 OWV458785:OXT458785 PGR458785:PHP458785 PQN458785:PRL458785 QAJ458785:QBH458785 QKF458785:QLD458785 QUB458785:QUZ458785 RDX458785:REV458785 RNT458785:ROR458785 RXP458785:RYN458785 SHL458785:SIJ458785 SRH458785:SSF458785 TBD458785:TCB458785 TKZ458785:TLX458785 TUV458785:TVT458785 UER458785:UFP458785 UON458785:UPL458785 UYJ458785:UZH458785 VIF458785:VJD458785 VSB458785:VSZ458785 WBX458785:WCV458785 WLT458785:WMR458785 WVP458785:WWN458785 H524321:AF524321 JD524321:KB524321 SZ524321:TX524321 ACV524321:ADT524321 AMR524321:ANP524321 AWN524321:AXL524321 BGJ524321:BHH524321 BQF524321:BRD524321 CAB524321:CAZ524321 CJX524321:CKV524321 CTT524321:CUR524321 DDP524321:DEN524321 DNL524321:DOJ524321 DXH524321:DYF524321 EHD524321:EIB524321 EQZ524321:ERX524321 FAV524321:FBT524321 FKR524321:FLP524321 FUN524321:FVL524321 GEJ524321:GFH524321 GOF524321:GPD524321 GYB524321:GYZ524321 HHX524321:HIV524321 HRT524321:HSR524321 IBP524321:ICN524321 ILL524321:IMJ524321 IVH524321:IWF524321 JFD524321:JGB524321 JOZ524321:JPX524321 JYV524321:JZT524321 KIR524321:KJP524321 KSN524321:KTL524321 LCJ524321:LDH524321 LMF524321:LND524321 LWB524321:LWZ524321 MFX524321:MGV524321 MPT524321:MQR524321 MZP524321:NAN524321 NJL524321:NKJ524321 NTH524321:NUF524321 ODD524321:OEB524321 OMZ524321:ONX524321 OWV524321:OXT524321 PGR524321:PHP524321 PQN524321:PRL524321 QAJ524321:QBH524321 QKF524321:QLD524321 QUB524321:QUZ524321 RDX524321:REV524321 RNT524321:ROR524321 RXP524321:RYN524321 SHL524321:SIJ524321 SRH524321:SSF524321 TBD524321:TCB524321 TKZ524321:TLX524321 TUV524321:TVT524321 UER524321:UFP524321 UON524321:UPL524321 UYJ524321:UZH524321 VIF524321:VJD524321 VSB524321:VSZ524321 WBX524321:WCV524321 WLT524321:WMR524321 WVP524321:WWN524321 H589857:AF589857 JD589857:KB589857 SZ589857:TX589857 ACV589857:ADT589857 AMR589857:ANP589857 AWN589857:AXL589857 BGJ589857:BHH589857 BQF589857:BRD589857 CAB589857:CAZ589857 CJX589857:CKV589857 CTT589857:CUR589857 DDP589857:DEN589857 DNL589857:DOJ589857 DXH589857:DYF589857 EHD589857:EIB589857 EQZ589857:ERX589857 FAV589857:FBT589857 FKR589857:FLP589857 FUN589857:FVL589857 GEJ589857:GFH589857 GOF589857:GPD589857 GYB589857:GYZ589857 HHX589857:HIV589857 HRT589857:HSR589857 IBP589857:ICN589857 ILL589857:IMJ589857 IVH589857:IWF589857 JFD589857:JGB589857 JOZ589857:JPX589857 JYV589857:JZT589857 KIR589857:KJP589857 KSN589857:KTL589857 LCJ589857:LDH589857 LMF589857:LND589857 LWB589857:LWZ589857 MFX589857:MGV589857 MPT589857:MQR589857 MZP589857:NAN589857 NJL589857:NKJ589857 NTH589857:NUF589857 ODD589857:OEB589857 OMZ589857:ONX589857 OWV589857:OXT589857 PGR589857:PHP589857 PQN589857:PRL589857 QAJ589857:QBH589857 QKF589857:QLD589857 QUB589857:QUZ589857 RDX589857:REV589857 RNT589857:ROR589857 RXP589857:RYN589857 SHL589857:SIJ589857 SRH589857:SSF589857 TBD589857:TCB589857 TKZ589857:TLX589857 TUV589857:TVT589857 UER589857:UFP589857 UON589857:UPL589857 UYJ589857:UZH589857 VIF589857:VJD589857 VSB589857:VSZ589857 WBX589857:WCV589857 WLT589857:WMR589857 WVP589857:WWN589857 H655393:AF655393 JD655393:KB655393 SZ655393:TX655393 ACV655393:ADT655393 AMR655393:ANP655393 AWN655393:AXL655393 BGJ655393:BHH655393 BQF655393:BRD655393 CAB655393:CAZ655393 CJX655393:CKV655393 CTT655393:CUR655393 DDP655393:DEN655393 DNL655393:DOJ655393 DXH655393:DYF655393 EHD655393:EIB655393 EQZ655393:ERX655393 FAV655393:FBT655393 FKR655393:FLP655393 FUN655393:FVL655393 GEJ655393:GFH655393 GOF655393:GPD655393 GYB655393:GYZ655393 HHX655393:HIV655393 HRT655393:HSR655393 IBP655393:ICN655393 ILL655393:IMJ655393 IVH655393:IWF655393 JFD655393:JGB655393 JOZ655393:JPX655393 JYV655393:JZT655393 KIR655393:KJP655393 KSN655393:KTL655393 LCJ655393:LDH655393 LMF655393:LND655393 LWB655393:LWZ655393 MFX655393:MGV655393 MPT655393:MQR655393 MZP655393:NAN655393 NJL655393:NKJ655393 NTH655393:NUF655393 ODD655393:OEB655393 OMZ655393:ONX655393 OWV655393:OXT655393 PGR655393:PHP655393 PQN655393:PRL655393 QAJ655393:QBH655393 QKF655393:QLD655393 QUB655393:QUZ655393 RDX655393:REV655393 RNT655393:ROR655393 RXP655393:RYN655393 SHL655393:SIJ655393 SRH655393:SSF655393 TBD655393:TCB655393 TKZ655393:TLX655393 TUV655393:TVT655393 UER655393:UFP655393 UON655393:UPL655393 UYJ655393:UZH655393 VIF655393:VJD655393 VSB655393:VSZ655393 WBX655393:WCV655393 WLT655393:WMR655393 WVP655393:WWN655393 H720929:AF720929 JD720929:KB720929 SZ720929:TX720929 ACV720929:ADT720929 AMR720929:ANP720929 AWN720929:AXL720929 BGJ720929:BHH720929 BQF720929:BRD720929 CAB720929:CAZ720929 CJX720929:CKV720929 CTT720929:CUR720929 DDP720929:DEN720929 DNL720929:DOJ720929 DXH720929:DYF720929 EHD720929:EIB720929 EQZ720929:ERX720929 FAV720929:FBT720929 FKR720929:FLP720929 FUN720929:FVL720929 GEJ720929:GFH720929 GOF720929:GPD720929 GYB720929:GYZ720929 HHX720929:HIV720929 HRT720929:HSR720929 IBP720929:ICN720929 ILL720929:IMJ720929 IVH720929:IWF720929 JFD720929:JGB720929 JOZ720929:JPX720929 JYV720929:JZT720929 KIR720929:KJP720929 KSN720929:KTL720929 LCJ720929:LDH720929 LMF720929:LND720929 LWB720929:LWZ720929 MFX720929:MGV720929 MPT720929:MQR720929 MZP720929:NAN720929 NJL720929:NKJ720929 NTH720929:NUF720929 ODD720929:OEB720929 OMZ720929:ONX720929 OWV720929:OXT720929 PGR720929:PHP720929 PQN720929:PRL720929 QAJ720929:QBH720929 QKF720929:QLD720929 QUB720929:QUZ720929 RDX720929:REV720929 RNT720929:ROR720929 RXP720929:RYN720929 SHL720929:SIJ720929 SRH720929:SSF720929 TBD720929:TCB720929 TKZ720929:TLX720929 TUV720929:TVT720929 UER720929:UFP720929 UON720929:UPL720929 UYJ720929:UZH720929 VIF720929:VJD720929 VSB720929:VSZ720929 WBX720929:WCV720929 WLT720929:WMR720929 WVP720929:WWN720929 H786465:AF786465 JD786465:KB786465 SZ786465:TX786465 ACV786465:ADT786465 AMR786465:ANP786465 AWN786465:AXL786465 BGJ786465:BHH786465 BQF786465:BRD786465 CAB786465:CAZ786465 CJX786465:CKV786465 CTT786465:CUR786465 DDP786465:DEN786465 DNL786465:DOJ786465 DXH786465:DYF786465 EHD786465:EIB786465 EQZ786465:ERX786465 FAV786465:FBT786465 FKR786465:FLP786465 FUN786465:FVL786465 GEJ786465:GFH786465 GOF786465:GPD786465 GYB786465:GYZ786465 HHX786465:HIV786465 HRT786465:HSR786465 IBP786465:ICN786465 ILL786465:IMJ786465 IVH786465:IWF786465 JFD786465:JGB786465 JOZ786465:JPX786465 JYV786465:JZT786465 KIR786465:KJP786465 KSN786465:KTL786465 LCJ786465:LDH786465 LMF786465:LND786465 LWB786465:LWZ786465 MFX786465:MGV786465 MPT786465:MQR786465 MZP786465:NAN786465 NJL786465:NKJ786465 NTH786465:NUF786465 ODD786465:OEB786465 OMZ786465:ONX786465 OWV786465:OXT786465 PGR786465:PHP786465 PQN786465:PRL786465 QAJ786465:QBH786465 QKF786465:QLD786465 QUB786465:QUZ786465 RDX786465:REV786465 RNT786465:ROR786465 RXP786465:RYN786465 SHL786465:SIJ786465 SRH786465:SSF786465 TBD786465:TCB786465 TKZ786465:TLX786465 TUV786465:TVT786465 UER786465:UFP786465 UON786465:UPL786465 UYJ786465:UZH786465 VIF786465:VJD786465 VSB786465:VSZ786465 WBX786465:WCV786465 WLT786465:WMR786465 WVP786465:WWN786465 H852001:AF852001 JD852001:KB852001 SZ852001:TX852001 ACV852001:ADT852001 AMR852001:ANP852001 AWN852001:AXL852001 BGJ852001:BHH852001 BQF852001:BRD852001 CAB852001:CAZ852001 CJX852001:CKV852001 CTT852001:CUR852001 DDP852001:DEN852001 DNL852001:DOJ852001 DXH852001:DYF852001 EHD852001:EIB852001 EQZ852001:ERX852001 FAV852001:FBT852001 FKR852001:FLP852001 FUN852001:FVL852001 GEJ852001:GFH852001 GOF852001:GPD852001 GYB852001:GYZ852001 HHX852001:HIV852001 HRT852001:HSR852001 IBP852001:ICN852001 ILL852001:IMJ852001 IVH852001:IWF852001 JFD852001:JGB852001 JOZ852001:JPX852001 JYV852001:JZT852001 KIR852001:KJP852001 KSN852001:KTL852001 LCJ852001:LDH852001 LMF852001:LND852001 LWB852001:LWZ852001 MFX852001:MGV852001 MPT852001:MQR852001 MZP852001:NAN852001 NJL852001:NKJ852001 NTH852001:NUF852001 ODD852001:OEB852001 OMZ852001:ONX852001 OWV852001:OXT852001 PGR852001:PHP852001 PQN852001:PRL852001 QAJ852001:QBH852001 QKF852001:QLD852001 QUB852001:QUZ852001 RDX852001:REV852001 RNT852001:ROR852001 RXP852001:RYN852001 SHL852001:SIJ852001 SRH852001:SSF852001 TBD852001:TCB852001 TKZ852001:TLX852001 TUV852001:TVT852001 UER852001:UFP852001 UON852001:UPL852001 UYJ852001:UZH852001 VIF852001:VJD852001 VSB852001:VSZ852001 WBX852001:WCV852001 WLT852001:WMR852001 WVP852001:WWN852001 H917537:AF917537 JD917537:KB917537 SZ917537:TX917537 ACV917537:ADT917537 AMR917537:ANP917537 AWN917537:AXL917537 BGJ917537:BHH917537 BQF917537:BRD917537 CAB917537:CAZ917537 CJX917537:CKV917537 CTT917537:CUR917537 DDP917537:DEN917537 DNL917537:DOJ917537 DXH917537:DYF917537 EHD917537:EIB917537 EQZ917537:ERX917537 FAV917537:FBT917537 FKR917537:FLP917537 FUN917537:FVL917537 GEJ917537:GFH917537 GOF917537:GPD917537 GYB917537:GYZ917537 HHX917537:HIV917537 HRT917537:HSR917537 IBP917537:ICN917537 ILL917537:IMJ917537 IVH917537:IWF917537 JFD917537:JGB917537 JOZ917537:JPX917537 JYV917537:JZT917537 KIR917537:KJP917537 KSN917537:KTL917537 LCJ917537:LDH917537 LMF917537:LND917537 LWB917537:LWZ917537 MFX917537:MGV917537 MPT917537:MQR917537 MZP917537:NAN917537 NJL917537:NKJ917537 NTH917537:NUF917537 ODD917537:OEB917537 OMZ917537:ONX917537 OWV917537:OXT917537 PGR917537:PHP917537 PQN917537:PRL917537 QAJ917537:QBH917537 QKF917537:QLD917537 QUB917537:QUZ917537 RDX917537:REV917537 RNT917537:ROR917537 RXP917537:RYN917537 SHL917537:SIJ917537 SRH917537:SSF917537 TBD917537:TCB917537 TKZ917537:TLX917537 TUV917537:TVT917537 UER917537:UFP917537 UON917537:UPL917537 UYJ917537:UZH917537 VIF917537:VJD917537 VSB917537:VSZ917537 WBX917537:WCV917537 WLT917537:WMR917537 WVP917537:WWN917537 H983073:AF983073 JD983073:KB983073 SZ983073:TX983073 ACV983073:ADT983073 AMR983073:ANP983073 AWN983073:AXL983073 BGJ983073:BHH983073 BQF983073:BRD983073 CAB983073:CAZ983073 CJX983073:CKV983073 CTT983073:CUR983073 DDP983073:DEN983073 DNL983073:DOJ983073 DXH983073:DYF983073 EHD983073:EIB983073 EQZ983073:ERX983073 FAV983073:FBT983073 FKR983073:FLP983073 FUN983073:FVL983073 GEJ983073:GFH983073 GOF983073:GPD983073 GYB983073:GYZ983073 HHX983073:HIV983073 HRT983073:HSR983073 IBP983073:ICN983073 ILL983073:IMJ983073 IVH983073:IWF983073 JFD983073:JGB983073 JOZ983073:JPX983073 JYV983073:JZT983073 KIR983073:KJP983073 KSN983073:KTL983073 LCJ983073:LDH983073 LMF983073:LND983073 LWB983073:LWZ983073 MFX983073:MGV983073 MPT983073:MQR983073 MZP983073:NAN983073 NJL983073:NKJ983073 NTH983073:NUF983073 ODD983073:OEB983073 OMZ983073:ONX983073 OWV983073:OXT983073 PGR983073:PHP983073 PQN983073:PRL983073 QAJ983073:QBH983073 QKF983073:QLD983073 QUB983073:QUZ983073 RDX983073:REV983073 RNT983073:ROR983073 RXP983073:RYN983073 SHL983073:SIJ983073 SRH983073:SSF983073 TBD983073:TCB983073 TKZ983073:TLX983073 TUV983073:TVT983073 UER983073:UFP983073 UON983073:UPL983073 UYJ983073:UZH983073 VIF983073:VJD983073 VSB983073:VSZ983073 WBX983073:WCV983073 WLT983073:WMR983073 WVP983073:WWN983073">
      <formula1>"OK, NG, NA, PT"</formula1>
    </dataValidation>
    <dataValidation type="list" allowBlank="1" showInputMessage="1" showErrorMessage="1" sqref="H30:AF30 JD30:KB30 SZ30:TX30 ACV30:ADT30 AMR30:ANP30 AWN30:AXL30 BGJ30:BHH30 BQF30:BRD30 CAB30:CAZ30 CJX30:CKV30 CTT30:CUR30 DDP30:DEN30 DNL30:DOJ30 DXH30:DYF30 EHD30:EIB30 EQZ30:ERX30 FAV30:FBT30 FKR30:FLP30 FUN30:FVL30 GEJ30:GFH30 GOF30:GPD30 GYB30:GYZ30 HHX30:HIV30 HRT30:HSR30 IBP30:ICN30 ILL30:IMJ30 IVH30:IWF30 JFD30:JGB30 JOZ30:JPX30 JYV30:JZT30 KIR30:KJP30 KSN30:KTL30 LCJ30:LDH30 LMF30:LND30 LWB30:LWZ30 MFX30:MGV30 MPT30:MQR30 MZP30:NAN30 NJL30:NKJ30 NTH30:NUF30 ODD30:OEB30 OMZ30:ONX30 OWV30:OXT30 PGR30:PHP30 PQN30:PRL30 QAJ30:QBH30 QKF30:QLD30 QUB30:QUZ30 RDX30:REV30 RNT30:ROR30 RXP30:RYN30 SHL30:SIJ30 SRH30:SSF30 TBD30:TCB30 TKZ30:TLX30 TUV30:TVT30 UER30:UFP30 UON30:UPL30 UYJ30:UZH30 VIF30:VJD30 VSB30:VSZ30 WBX30:WCV30 WLT30:WMR30 WVP30:WWN30 H65566:AF65566 JD65566:KB65566 SZ65566:TX65566 ACV65566:ADT65566 AMR65566:ANP65566 AWN65566:AXL65566 BGJ65566:BHH65566 BQF65566:BRD65566 CAB65566:CAZ65566 CJX65566:CKV65566 CTT65566:CUR65566 DDP65566:DEN65566 DNL65566:DOJ65566 DXH65566:DYF65566 EHD65566:EIB65566 EQZ65566:ERX65566 FAV65566:FBT65566 FKR65566:FLP65566 FUN65566:FVL65566 GEJ65566:GFH65566 GOF65566:GPD65566 GYB65566:GYZ65566 HHX65566:HIV65566 HRT65566:HSR65566 IBP65566:ICN65566 ILL65566:IMJ65566 IVH65566:IWF65566 JFD65566:JGB65566 JOZ65566:JPX65566 JYV65566:JZT65566 KIR65566:KJP65566 KSN65566:KTL65566 LCJ65566:LDH65566 LMF65566:LND65566 LWB65566:LWZ65566 MFX65566:MGV65566 MPT65566:MQR65566 MZP65566:NAN65566 NJL65566:NKJ65566 NTH65566:NUF65566 ODD65566:OEB65566 OMZ65566:ONX65566 OWV65566:OXT65566 PGR65566:PHP65566 PQN65566:PRL65566 QAJ65566:QBH65566 QKF65566:QLD65566 QUB65566:QUZ65566 RDX65566:REV65566 RNT65566:ROR65566 RXP65566:RYN65566 SHL65566:SIJ65566 SRH65566:SSF65566 TBD65566:TCB65566 TKZ65566:TLX65566 TUV65566:TVT65566 UER65566:UFP65566 UON65566:UPL65566 UYJ65566:UZH65566 VIF65566:VJD65566 VSB65566:VSZ65566 WBX65566:WCV65566 WLT65566:WMR65566 WVP65566:WWN65566 H131102:AF131102 JD131102:KB131102 SZ131102:TX131102 ACV131102:ADT131102 AMR131102:ANP131102 AWN131102:AXL131102 BGJ131102:BHH131102 BQF131102:BRD131102 CAB131102:CAZ131102 CJX131102:CKV131102 CTT131102:CUR131102 DDP131102:DEN131102 DNL131102:DOJ131102 DXH131102:DYF131102 EHD131102:EIB131102 EQZ131102:ERX131102 FAV131102:FBT131102 FKR131102:FLP131102 FUN131102:FVL131102 GEJ131102:GFH131102 GOF131102:GPD131102 GYB131102:GYZ131102 HHX131102:HIV131102 HRT131102:HSR131102 IBP131102:ICN131102 ILL131102:IMJ131102 IVH131102:IWF131102 JFD131102:JGB131102 JOZ131102:JPX131102 JYV131102:JZT131102 KIR131102:KJP131102 KSN131102:KTL131102 LCJ131102:LDH131102 LMF131102:LND131102 LWB131102:LWZ131102 MFX131102:MGV131102 MPT131102:MQR131102 MZP131102:NAN131102 NJL131102:NKJ131102 NTH131102:NUF131102 ODD131102:OEB131102 OMZ131102:ONX131102 OWV131102:OXT131102 PGR131102:PHP131102 PQN131102:PRL131102 QAJ131102:QBH131102 QKF131102:QLD131102 QUB131102:QUZ131102 RDX131102:REV131102 RNT131102:ROR131102 RXP131102:RYN131102 SHL131102:SIJ131102 SRH131102:SSF131102 TBD131102:TCB131102 TKZ131102:TLX131102 TUV131102:TVT131102 UER131102:UFP131102 UON131102:UPL131102 UYJ131102:UZH131102 VIF131102:VJD131102 VSB131102:VSZ131102 WBX131102:WCV131102 WLT131102:WMR131102 WVP131102:WWN131102 H196638:AF196638 JD196638:KB196638 SZ196638:TX196638 ACV196638:ADT196638 AMR196638:ANP196638 AWN196638:AXL196638 BGJ196638:BHH196638 BQF196638:BRD196638 CAB196638:CAZ196638 CJX196638:CKV196638 CTT196638:CUR196638 DDP196638:DEN196638 DNL196638:DOJ196638 DXH196638:DYF196638 EHD196638:EIB196638 EQZ196638:ERX196638 FAV196638:FBT196638 FKR196638:FLP196638 FUN196638:FVL196638 GEJ196638:GFH196638 GOF196638:GPD196638 GYB196638:GYZ196638 HHX196638:HIV196638 HRT196638:HSR196638 IBP196638:ICN196638 ILL196638:IMJ196638 IVH196638:IWF196638 JFD196638:JGB196638 JOZ196638:JPX196638 JYV196638:JZT196638 KIR196638:KJP196638 KSN196638:KTL196638 LCJ196638:LDH196638 LMF196638:LND196638 LWB196638:LWZ196638 MFX196638:MGV196638 MPT196638:MQR196638 MZP196638:NAN196638 NJL196638:NKJ196638 NTH196638:NUF196638 ODD196638:OEB196638 OMZ196638:ONX196638 OWV196638:OXT196638 PGR196638:PHP196638 PQN196638:PRL196638 QAJ196638:QBH196638 QKF196638:QLD196638 QUB196638:QUZ196638 RDX196638:REV196638 RNT196638:ROR196638 RXP196638:RYN196638 SHL196638:SIJ196638 SRH196638:SSF196638 TBD196638:TCB196638 TKZ196638:TLX196638 TUV196638:TVT196638 UER196638:UFP196638 UON196638:UPL196638 UYJ196638:UZH196638 VIF196638:VJD196638 VSB196638:VSZ196638 WBX196638:WCV196638 WLT196638:WMR196638 WVP196638:WWN196638 H262174:AF262174 JD262174:KB262174 SZ262174:TX262174 ACV262174:ADT262174 AMR262174:ANP262174 AWN262174:AXL262174 BGJ262174:BHH262174 BQF262174:BRD262174 CAB262174:CAZ262174 CJX262174:CKV262174 CTT262174:CUR262174 DDP262174:DEN262174 DNL262174:DOJ262174 DXH262174:DYF262174 EHD262174:EIB262174 EQZ262174:ERX262174 FAV262174:FBT262174 FKR262174:FLP262174 FUN262174:FVL262174 GEJ262174:GFH262174 GOF262174:GPD262174 GYB262174:GYZ262174 HHX262174:HIV262174 HRT262174:HSR262174 IBP262174:ICN262174 ILL262174:IMJ262174 IVH262174:IWF262174 JFD262174:JGB262174 JOZ262174:JPX262174 JYV262174:JZT262174 KIR262174:KJP262174 KSN262174:KTL262174 LCJ262174:LDH262174 LMF262174:LND262174 LWB262174:LWZ262174 MFX262174:MGV262174 MPT262174:MQR262174 MZP262174:NAN262174 NJL262174:NKJ262174 NTH262174:NUF262174 ODD262174:OEB262174 OMZ262174:ONX262174 OWV262174:OXT262174 PGR262174:PHP262174 PQN262174:PRL262174 QAJ262174:QBH262174 QKF262174:QLD262174 QUB262174:QUZ262174 RDX262174:REV262174 RNT262174:ROR262174 RXP262174:RYN262174 SHL262174:SIJ262174 SRH262174:SSF262174 TBD262174:TCB262174 TKZ262174:TLX262174 TUV262174:TVT262174 UER262174:UFP262174 UON262174:UPL262174 UYJ262174:UZH262174 VIF262174:VJD262174 VSB262174:VSZ262174 WBX262174:WCV262174 WLT262174:WMR262174 WVP262174:WWN262174 H327710:AF327710 JD327710:KB327710 SZ327710:TX327710 ACV327710:ADT327710 AMR327710:ANP327710 AWN327710:AXL327710 BGJ327710:BHH327710 BQF327710:BRD327710 CAB327710:CAZ327710 CJX327710:CKV327710 CTT327710:CUR327710 DDP327710:DEN327710 DNL327710:DOJ327710 DXH327710:DYF327710 EHD327710:EIB327710 EQZ327710:ERX327710 FAV327710:FBT327710 FKR327710:FLP327710 FUN327710:FVL327710 GEJ327710:GFH327710 GOF327710:GPD327710 GYB327710:GYZ327710 HHX327710:HIV327710 HRT327710:HSR327710 IBP327710:ICN327710 ILL327710:IMJ327710 IVH327710:IWF327710 JFD327710:JGB327710 JOZ327710:JPX327710 JYV327710:JZT327710 KIR327710:KJP327710 KSN327710:KTL327710 LCJ327710:LDH327710 LMF327710:LND327710 LWB327710:LWZ327710 MFX327710:MGV327710 MPT327710:MQR327710 MZP327710:NAN327710 NJL327710:NKJ327710 NTH327710:NUF327710 ODD327710:OEB327710 OMZ327710:ONX327710 OWV327710:OXT327710 PGR327710:PHP327710 PQN327710:PRL327710 QAJ327710:QBH327710 QKF327710:QLD327710 QUB327710:QUZ327710 RDX327710:REV327710 RNT327710:ROR327710 RXP327710:RYN327710 SHL327710:SIJ327710 SRH327710:SSF327710 TBD327710:TCB327710 TKZ327710:TLX327710 TUV327710:TVT327710 UER327710:UFP327710 UON327710:UPL327710 UYJ327710:UZH327710 VIF327710:VJD327710 VSB327710:VSZ327710 WBX327710:WCV327710 WLT327710:WMR327710 WVP327710:WWN327710 H393246:AF393246 JD393246:KB393246 SZ393246:TX393246 ACV393246:ADT393246 AMR393246:ANP393246 AWN393246:AXL393246 BGJ393246:BHH393246 BQF393246:BRD393246 CAB393246:CAZ393246 CJX393246:CKV393246 CTT393246:CUR393246 DDP393246:DEN393246 DNL393246:DOJ393246 DXH393246:DYF393246 EHD393246:EIB393246 EQZ393246:ERX393246 FAV393246:FBT393246 FKR393246:FLP393246 FUN393246:FVL393246 GEJ393246:GFH393246 GOF393246:GPD393246 GYB393246:GYZ393246 HHX393246:HIV393246 HRT393246:HSR393246 IBP393246:ICN393246 ILL393246:IMJ393246 IVH393246:IWF393246 JFD393246:JGB393246 JOZ393246:JPX393246 JYV393246:JZT393246 KIR393246:KJP393246 KSN393246:KTL393246 LCJ393246:LDH393246 LMF393246:LND393246 LWB393246:LWZ393246 MFX393246:MGV393246 MPT393246:MQR393246 MZP393246:NAN393246 NJL393246:NKJ393246 NTH393246:NUF393246 ODD393246:OEB393246 OMZ393246:ONX393246 OWV393246:OXT393246 PGR393246:PHP393246 PQN393246:PRL393246 QAJ393246:QBH393246 QKF393246:QLD393246 QUB393246:QUZ393246 RDX393246:REV393246 RNT393246:ROR393246 RXP393246:RYN393246 SHL393246:SIJ393246 SRH393246:SSF393246 TBD393246:TCB393246 TKZ393246:TLX393246 TUV393246:TVT393246 UER393246:UFP393246 UON393246:UPL393246 UYJ393246:UZH393246 VIF393246:VJD393246 VSB393246:VSZ393246 WBX393246:WCV393246 WLT393246:WMR393246 WVP393246:WWN393246 H458782:AF458782 JD458782:KB458782 SZ458782:TX458782 ACV458782:ADT458782 AMR458782:ANP458782 AWN458782:AXL458782 BGJ458782:BHH458782 BQF458782:BRD458782 CAB458782:CAZ458782 CJX458782:CKV458782 CTT458782:CUR458782 DDP458782:DEN458782 DNL458782:DOJ458782 DXH458782:DYF458782 EHD458782:EIB458782 EQZ458782:ERX458782 FAV458782:FBT458782 FKR458782:FLP458782 FUN458782:FVL458782 GEJ458782:GFH458782 GOF458782:GPD458782 GYB458782:GYZ458782 HHX458782:HIV458782 HRT458782:HSR458782 IBP458782:ICN458782 ILL458782:IMJ458782 IVH458782:IWF458782 JFD458782:JGB458782 JOZ458782:JPX458782 JYV458782:JZT458782 KIR458782:KJP458782 KSN458782:KTL458782 LCJ458782:LDH458782 LMF458782:LND458782 LWB458782:LWZ458782 MFX458782:MGV458782 MPT458782:MQR458782 MZP458782:NAN458782 NJL458782:NKJ458782 NTH458782:NUF458782 ODD458782:OEB458782 OMZ458782:ONX458782 OWV458782:OXT458782 PGR458782:PHP458782 PQN458782:PRL458782 QAJ458782:QBH458782 QKF458782:QLD458782 QUB458782:QUZ458782 RDX458782:REV458782 RNT458782:ROR458782 RXP458782:RYN458782 SHL458782:SIJ458782 SRH458782:SSF458782 TBD458782:TCB458782 TKZ458782:TLX458782 TUV458782:TVT458782 UER458782:UFP458782 UON458782:UPL458782 UYJ458782:UZH458782 VIF458782:VJD458782 VSB458782:VSZ458782 WBX458782:WCV458782 WLT458782:WMR458782 WVP458782:WWN458782 H524318:AF524318 JD524318:KB524318 SZ524318:TX524318 ACV524318:ADT524318 AMR524318:ANP524318 AWN524318:AXL524318 BGJ524318:BHH524318 BQF524318:BRD524318 CAB524318:CAZ524318 CJX524318:CKV524318 CTT524318:CUR524318 DDP524318:DEN524318 DNL524318:DOJ524318 DXH524318:DYF524318 EHD524318:EIB524318 EQZ524318:ERX524318 FAV524318:FBT524318 FKR524318:FLP524318 FUN524318:FVL524318 GEJ524318:GFH524318 GOF524318:GPD524318 GYB524318:GYZ524318 HHX524318:HIV524318 HRT524318:HSR524318 IBP524318:ICN524318 ILL524318:IMJ524318 IVH524318:IWF524318 JFD524318:JGB524318 JOZ524318:JPX524318 JYV524318:JZT524318 KIR524318:KJP524318 KSN524318:KTL524318 LCJ524318:LDH524318 LMF524318:LND524318 LWB524318:LWZ524318 MFX524318:MGV524318 MPT524318:MQR524318 MZP524318:NAN524318 NJL524318:NKJ524318 NTH524318:NUF524318 ODD524318:OEB524318 OMZ524318:ONX524318 OWV524318:OXT524318 PGR524318:PHP524318 PQN524318:PRL524318 QAJ524318:QBH524318 QKF524318:QLD524318 QUB524318:QUZ524318 RDX524318:REV524318 RNT524318:ROR524318 RXP524318:RYN524318 SHL524318:SIJ524318 SRH524318:SSF524318 TBD524318:TCB524318 TKZ524318:TLX524318 TUV524318:TVT524318 UER524318:UFP524318 UON524318:UPL524318 UYJ524318:UZH524318 VIF524318:VJD524318 VSB524318:VSZ524318 WBX524318:WCV524318 WLT524318:WMR524318 WVP524318:WWN524318 H589854:AF589854 JD589854:KB589854 SZ589854:TX589854 ACV589854:ADT589854 AMR589854:ANP589854 AWN589854:AXL589854 BGJ589854:BHH589854 BQF589854:BRD589854 CAB589854:CAZ589854 CJX589854:CKV589854 CTT589854:CUR589854 DDP589854:DEN589854 DNL589854:DOJ589854 DXH589854:DYF589854 EHD589854:EIB589854 EQZ589854:ERX589854 FAV589854:FBT589854 FKR589854:FLP589854 FUN589854:FVL589854 GEJ589854:GFH589854 GOF589854:GPD589854 GYB589854:GYZ589854 HHX589854:HIV589854 HRT589854:HSR589854 IBP589854:ICN589854 ILL589854:IMJ589854 IVH589854:IWF589854 JFD589854:JGB589854 JOZ589854:JPX589854 JYV589854:JZT589854 KIR589854:KJP589854 KSN589854:KTL589854 LCJ589854:LDH589854 LMF589854:LND589854 LWB589854:LWZ589854 MFX589854:MGV589854 MPT589854:MQR589854 MZP589854:NAN589854 NJL589854:NKJ589854 NTH589854:NUF589854 ODD589854:OEB589854 OMZ589854:ONX589854 OWV589854:OXT589854 PGR589854:PHP589854 PQN589854:PRL589854 QAJ589854:QBH589854 QKF589854:QLD589854 QUB589854:QUZ589854 RDX589854:REV589854 RNT589854:ROR589854 RXP589854:RYN589854 SHL589854:SIJ589854 SRH589854:SSF589854 TBD589854:TCB589854 TKZ589854:TLX589854 TUV589854:TVT589854 UER589854:UFP589854 UON589854:UPL589854 UYJ589854:UZH589854 VIF589854:VJD589854 VSB589854:VSZ589854 WBX589854:WCV589854 WLT589854:WMR589854 WVP589854:WWN589854 H655390:AF655390 JD655390:KB655390 SZ655390:TX655390 ACV655390:ADT655390 AMR655390:ANP655390 AWN655390:AXL655390 BGJ655390:BHH655390 BQF655390:BRD655390 CAB655390:CAZ655390 CJX655390:CKV655390 CTT655390:CUR655390 DDP655390:DEN655390 DNL655390:DOJ655390 DXH655390:DYF655390 EHD655390:EIB655390 EQZ655390:ERX655390 FAV655390:FBT655390 FKR655390:FLP655390 FUN655390:FVL655390 GEJ655390:GFH655390 GOF655390:GPD655390 GYB655390:GYZ655390 HHX655390:HIV655390 HRT655390:HSR655390 IBP655390:ICN655390 ILL655390:IMJ655390 IVH655390:IWF655390 JFD655390:JGB655390 JOZ655390:JPX655390 JYV655390:JZT655390 KIR655390:KJP655390 KSN655390:KTL655390 LCJ655390:LDH655390 LMF655390:LND655390 LWB655390:LWZ655390 MFX655390:MGV655390 MPT655390:MQR655390 MZP655390:NAN655390 NJL655390:NKJ655390 NTH655390:NUF655390 ODD655390:OEB655390 OMZ655390:ONX655390 OWV655390:OXT655390 PGR655390:PHP655390 PQN655390:PRL655390 QAJ655390:QBH655390 QKF655390:QLD655390 QUB655390:QUZ655390 RDX655390:REV655390 RNT655390:ROR655390 RXP655390:RYN655390 SHL655390:SIJ655390 SRH655390:SSF655390 TBD655390:TCB655390 TKZ655390:TLX655390 TUV655390:TVT655390 UER655390:UFP655390 UON655390:UPL655390 UYJ655390:UZH655390 VIF655390:VJD655390 VSB655390:VSZ655390 WBX655390:WCV655390 WLT655390:WMR655390 WVP655390:WWN655390 H720926:AF720926 JD720926:KB720926 SZ720926:TX720926 ACV720926:ADT720926 AMR720926:ANP720926 AWN720926:AXL720926 BGJ720926:BHH720926 BQF720926:BRD720926 CAB720926:CAZ720926 CJX720926:CKV720926 CTT720926:CUR720926 DDP720926:DEN720926 DNL720926:DOJ720926 DXH720926:DYF720926 EHD720926:EIB720926 EQZ720926:ERX720926 FAV720926:FBT720926 FKR720926:FLP720926 FUN720926:FVL720926 GEJ720926:GFH720926 GOF720926:GPD720926 GYB720926:GYZ720926 HHX720926:HIV720926 HRT720926:HSR720926 IBP720926:ICN720926 ILL720926:IMJ720926 IVH720926:IWF720926 JFD720926:JGB720926 JOZ720926:JPX720926 JYV720926:JZT720926 KIR720926:KJP720926 KSN720926:KTL720926 LCJ720926:LDH720926 LMF720926:LND720926 LWB720926:LWZ720926 MFX720926:MGV720926 MPT720926:MQR720926 MZP720926:NAN720926 NJL720926:NKJ720926 NTH720926:NUF720926 ODD720926:OEB720926 OMZ720926:ONX720926 OWV720926:OXT720926 PGR720926:PHP720926 PQN720926:PRL720926 QAJ720926:QBH720926 QKF720926:QLD720926 QUB720926:QUZ720926 RDX720926:REV720926 RNT720926:ROR720926 RXP720926:RYN720926 SHL720926:SIJ720926 SRH720926:SSF720926 TBD720926:TCB720926 TKZ720926:TLX720926 TUV720926:TVT720926 UER720926:UFP720926 UON720926:UPL720926 UYJ720926:UZH720926 VIF720926:VJD720926 VSB720926:VSZ720926 WBX720926:WCV720926 WLT720926:WMR720926 WVP720926:WWN720926 H786462:AF786462 JD786462:KB786462 SZ786462:TX786462 ACV786462:ADT786462 AMR786462:ANP786462 AWN786462:AXL786462 BGJ786462:BHH786462 BQF786462:BRD786462 CAB786462:CAZ786462 CJX786462:CKV786462 CTT786462:CUR786462 DDP786462:DEN786462 DNL786462:DOJ786462 DXH786462:DYF786462 EHD786462:EIB786462 EQZ786462:ERX786462 FAV786462:FBT786462 FKR786462:FLP786462 FUN786462:FVL786462 GEJ786462:GFH786462 GOF786462:GPD786462 GYB786462:GYZ786462 HHX786462:HIV786462 HRT786462:HSR786462 IBP786462:ICN786462 ILL786462:IMJ786462 IVH786462:IWF786462 JFD786462:JGB786462 JOZ786462:JPX786462 JYV786462:JZT786462 KIR786462:KJP786462 KSN786462:KTL786462 LCJ786462:LDH786462 LMF786462:LND786462 LWB786462:LWZ786462 MFX786462:MGV786462 MPT786462:MQR786462 MZP786462:NAN786462 NJL786462:NKJ786462 NTH786462:NUF786462 ODD786462:OEB786462 OMZ786462:ONX786462 OWV786462:OXT786462 PGR786462:PHP786462 PQN786462:PRL786462 QAJ786462:QBH786462 QKF786462:QLD786462 QUB786462:QUZ786462 RDX786462:REV786462 RNT786462:ROR786462 RXP786462:RYN786462 SHL786462:SIJ786462 SRH786462:SSF786462 TBD786462:TCB786462 TKZ786462:TLX786462 TUV786462:TVT786462 UER786462:UFP786462 UON786462:UPL786462 UYJ786462:UZH786462 VIF786462:VJD786462 VSB786462:VSZ786462 WBX786462:WCV786462 WLT786462:WMR786462 WVP786462:WWN786462 H851998:AF851998 JD851998:KB851998 SZ851998:TX851998 ACV851998:ADT851998 AMR851998:ANP851998 AWN851998:AXL851998 BGJ851998:BHH851998 BQF851998:BRD851998 CAB851998:CAZ851998 CJX851998:CKV851998 CTT851998:CUR851998 DDP851998:DEN851998 DNL851998:DOJ851998 DXH851998:DYF851998 EHD851998:EIB851998 EQZ851998:ERX851998 FAV851998:FBT851998 FKR851998:FLP851998 FUN851998:FVL851998 GEJ851998:GFH851998 GOF851998:GPD851998 GYB851998:GYZ851998 HHX851998:HIV851998 HRT851998:HSR851998 IBP851998:ICN851998 ILL851998:IMJ851998 IVH851998:IWF851998 JFD851998:JGB851998 JOZ851998:JPX851998 JYV851998:JZT851998 KIR851998:KJP851998 KSN851998:KTL851998 LCJ851998:LDH851998 LMF851998:LND851998 LWB851998:LWZ851998 MFX851998:MGV851998 MPT851998:MQR851998 MZP851998:NAN851998 NJL851998:NKJ851998 NTH851998:NUF851998 ODD851998:OEB851998 OMZ851998:ONX851998 OWV851998:OXT851998 PGR851998:PHP851998 PQN851998:PRL851998 QAJ851998:QBH851998 QKF851998:QLD851998 QUB851998:QUZ851998 RDX851998:REV851998 RNT851998:ROR851998 RXP851998:RYN851998 SHL851998:SIJ851998 SRH851998:SSF851998 TBD851998:TCB851998 TKZ851998:TLX851998 TUV851998:TVT851998 UER851998:UFP851998 UON851998:UPL851998 UYJ851998:UZH851998 VIF851998:VJD851998 VSB851998:VSZ851998 WBX851998:WCV851998 WLT851998:WMR851998 WVP851998:WWN851998 H917534:AF917534 JD917534:KB917534 SZ917534:TX917534 ACV917534:ADT917534 AMR917534:ANP917534 AWN917534:AXL917534 BGJ917534:BHH917534 BQF917534:BRD917534 CAB917534:CAZ917534 CJX917534:CKV917534 CTT917534:CUR917534 DDP917534:DEN917534 DNL917534:DOJ917534 DXH917534:DYF917534 EHD917534:EIB917534 EQZ917534:ERX917534 FAV917534:FBT917534 FKR917534:FLP917534 FUN917534:FVL917534 GEJ917534:GFH917534 GOF917534:GPD917534 GYB917534:GYZ917534 HHX917534:HIV917534 HRT917534:HSR917534 IBP917534:ICN917534 ILL917534:IMJ917534 IVH917534:IWF917534 JFD917534:JGB917534 JOZ917534:JPX917534 JYV917534:JZT917534 KIR917534:KJP917534 KSN917534:KTL917534 LCJ917534:LDH917534 LMF917534:LND917534 LWB917534:LWZ917534 MFX917534:MGV917534 MPT917534:MQR917534 MZP917534:NAN917534 NJL917534:NKJ917534 NTH917534:NUF917534 ODD917534:OEB917534 OMZ917534:ONX917534 OWV917534:OXT917534 PGR917534:PHP917534 PQN917534:PRL917534 QAJ917534:QBH917534 QKF917534:QLD917534 QUB917534:QUZ917534 RDX917534:REV917534 RNT917534:ROR917534 RXP917534:RYN917534 SHL917534:SIJ917534 SRH917534:SSF917534 TBD917534:TCB917534 TKZ917534:TLX917534 TUV917534:TVT917534 UER917534:UFP917534 UON917534:UPL917534 UYJ917534:UZH917534 VIF917534:VJD917534 VSB917534:VSZ917534 WBX917534:WCV917534 WLT917534:WMR917534 WVP917534:WWN917534 H983070:AF983070 JD983070:KB983070 SZ983070:TX983070 ACV983070:ADT983070 AMR983070:ANP983070 AWN983070:AXL983070 BGJ983070:BHH983070 BQF983070:BRD983070 CAB983070:CAZ983070 CJX983070:CKV983070 CTT983070:CUR983070 DDP983070:DEN983070 DNL983070:DOJ983070 DXH983070:DYF983070 EHD983070:EIB983070 EQZ983070:ERX983070 FAV983070:FBT983070 FKR983070:FLP983070 FUN983070:FVL983070 GEJ983070:GFH983070 GOF983070:GPD983070 GYB983070:GYZ983070 HHX983070:HIV983070 HRT983070:HSR983070 IBP983070:ICN983070 ILL983070:IMJ983070 IVH983070:IWF983070 JFD983070:JGB983070 JOZ983070:JPX983070 JYV983070:JZT983070 KIR983070:KJP983070 KSN983070:KTL983070 LCJ983070:LDH983070 LMF983070:LND983070 LWB983070:LWZ983070 MFX983070:MGV983070 MPT983070:MQR983070 MZP983070:NAN983070 NJL983070:NKJ983070 NTH983070:NUF983070 ODD983070:OEB983070 OMZ983070:ONX983070 OWV983070:OXT983070 PGR983070:PHP983070 PQN983070:PRL983070 QAJ983070:QBH983070 QKF983070:QLD983070 QUB983070:QUZ983070 RDX983070:REV983070 RNT983070:ROR983070 RXP983070:RYN983070 SHL983070:SIJ983070 SRH983070:SSF983070 TBD983070:TCB983070 TKZ983070:TLX983070 TUV983070:TVT983070 UER983070:UFP983070 UON983070:UPL983070 UYJ983070:UZH983070 VIF983070:VJD983070 VSB983070:VSZ983070 WBX983070:WCV983070 WLT983070:WMR983070 WVP983070:WWN983070">
      <formula1>"N, A, B"</formula1>
    </dataValidation>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16"/>
  <dimension ref="A1:AF25"/>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M10" sqref="M10"/>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123</v>
      </c>
      <c r="J2" s="247"/>
      <c r="K2" s="247"/>
      <c r="L2" s="247"/>
      <c r="M2" s="247"/>
      <c r="N2" s="247"/>
      <c r="O2" s="248"/>
      <c r="P2" s="243"/>
      <c r="Q2" s="244"/>
      <c r="R2" s="244"/>
      <c r="S2" s="244"/>
      <c r="T2" s="244"/>
      <c r="U2" s="244"/>
      <c r="V2" s="244"/>
      <c r="W2" s="244"/>
      <c r="X2" s="244"/>
      <c r="Y2" s="244"/>
      <c r="Z2" s="245"/>
      <c r="AA2" s="255" t="s">
        <v>210</v>
      </c>
      <c r="AB2" s="256"/>
      <c r="AC2" s="243" t="s">
        <v>296</v>
      </c>
      <c r="AD2" s="244"/>
      <c r="AE2" s="244"/>
      <c r="AF2" s="257"/>
    </row>
    <row r="3" spans="1:32" ht="37.5" customHeight="1" thickBot="1">
      <c r="A3" s="66" t="s">
        <v>43</v>
      </c>
      <c r="B3" s="10"/>
      <c r="C3" s="10"/>
      <c r="D3" s="10"/>
      <c r="E3" s="10"/>
      <c r="F3" s="10"/>
      <c r="G3" s="65" t="s">
        <v>44</v>
      </c>
      <c r="H3" s="11">
        <f>IF(COUNTA(H4:H19)&gt;0,1,"")</f>
        <v>1</v>
      </c>
      <c r="I3" s="12">
        <f>IF(COUNTA(I4:I19)&gt;0,IF(H3&gt;0,H3+1,""),"")</f>
        <v>2</v>
      </c>
      <c r="J3" s="12"/>
      <c r="K3" s="12" t="str">
        <f t="shared" ref="K3:AF3" si="0">IF(COUNTA(K4:K19)&gt;0,IF(J3&gt;0,J3+1,""),"")</f>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313" t="s">
        <v>312</v>
      </c>
      <c r="C4" s="313"/>
      <c r="D4" s="313"/>
      <c r="E4" s="313"/>
      <c r="F4" s="313"/>
      <c r="G4" s="323"/>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131</v>
      </c>
      <c r="C5" s="315"/>
      <c r="D5" s="315"/>
      <c r="E5" s="315"/>
      <c r="F5" s="315"/>
      <c r="G5" s="341"/>
      <c r="H5" s="118" t="s">
        <v>80</v>
      </c>
      <c r="I5" s="366" t="s">
        <v>80</v>
      </c>
      <c r="J5" s="117"/>
      <c r="K5" s="117"/>
      <c r="L5" s="103"/>
      <c r="M5" s="103"/>
      <c r="N5" s="103"/>
      <c r="O5" s="103"/>
      <c r="P5" s="103"/>
      <c r="Q5" s="103"/>
      <c r="R5" s="103"/>
      <c r="S5" s="103"/>
      <c r="T5" s="103"/>
      <c r="U5" s="103"/>
      <c r="V5" s="103"/>
      <c r="W5" s="103"/>
      <c r="X5" s="103"/>
      <c r="Y5" s="103"/>
      <c r="Z5" s="103"/>
      <c r="AA5" s="103"/>
      <c r="AB5" s="103"/>
      <c r="AC5" s="103"/>
      <c r="AD5" s="103"/>
      <c r="AE5" s="103"/>
      <c r="AF5" s="20"/>
    </row>
    <row r="6" spans="1:32" s="17" customFormat="1" ht="13.5" customHeight="1">
      <c r="A6" s="233"/>
      <c r="B6" s="277"/>
      <c r="C6" s="268" t="s">
        <v>323</v>
      </c>
      <c r="D6" s="268"/>
      <c r="E6" s="268"/>
      <c r="F6" s="268"/>
      <c r="G6" s="234"/>
      <c r="H6" s="118"/>
      <c r="I6" s="366"/>
      <c r="J6" s="117"/>
      <c r="K6" s="117"/>
      <c r="L6" s="156"/>
      <c r="M6" s="156"/>
      <c r="N6" s="156"/>
      <c r="O6" s="156"/>
      <c r="P6" s="156"/>
      <c r="Q6" s="156"/>
      <c r="R6" s="156"/>
      <c r="S6" s="156"/>
      <c r="T6" s="156"/>
      <c r="U6" s="156"/>
      <c r="V6" s="156"/>
      <c r="W6" s="156"/>
      <c r="X6" s="156"/>
      <c r="Y6" s="156"/>
      <c r="Z6" s="156"/>
      <c r="AA6" s="156"/>
      <c r="AB6" s="156"/>
      <c r="AC6" s="156"/>
      <c r="AD6" s="156"/>
      <c r="AE6" s="156"/>
      <c r="AF6" s="20"/>
    </row>
    <row r="7" spans="1:32" s="17" customFormat="1" ht="13.5" customHeight="1">
      <c r="A7" s="233"/>
      <c r="B7" s="238"/>
      <c r="C7" s="156"/>
      <c r="D7" s="234" t="s">
        <v>306</v>
      </c>
      <c r="E7" s="237"/>
      <c r="F7" s="237"/>
      <c r="G7" s="304"/>
      <c r="H7" s="118" t="s">
        <v>80</v>
      </c>
      <c r="I7" s="366"/>
      <c r="J7" s="117"/>
      <c r="K7" s="117"/>
      <c r="L7" s="156"/>
      <c r="M7" s="156"/>
      <c r="N7" s="156"/>
      <c r="O7" s="156"/>
      <c r="P7" s="156"/>
      <c r="Q7" s="156"/>
      <c r="R7" s="156"/>
      <c r="S7" s="156"/>
      <c r="T7" s="156"/>
      <c r="U7" s="156"/>
      <c r="V7" s="156"/>
      <c r="W7" s="156"/>
      <c r="X7" s="156"/>
      <c r="Y7" s="156"/>
      <c r="Z7" s="156"/>
      <c r="AA7" s="156"/>
      <c r="AB7" s="156"/>
      <c r="AC7" s="156"/>
      <c r="AD7" s="156"/>
      <c r="AE7" s="156"/>
      <c r="AF7" s="20"/>
    </row>
    <row r="8" spans="1:32" s="17" customFormat="1" ht="13.5" customHeight="1">
      <c r="A8" s="233"/>
      <c r="B8" s="238"/>
      <c r="C8" s="268" t="s">
        <v>238</v>
      </c>
      <c r="D8" s="268"/>
      <c r="E8" s="268"/>
      <c r="F8" s="268"/>
      <c r="G8" s="234"/>
      <c r="H8" s="111"/>
      <c r="I8" s="367"/>
      <c r="J8" s="23"/>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233"/>
      <c r="B9" s="238"/>
      <c r="C9" s="103"/>
      <c r="D9" s="234" t="s">
        <v>239</v>
      </c>
      <c r="E9" s="237"/>
      <c r="F9" s="237"/>
      <c r="G9" s="304"/>
      <c r="H9" s="111" t="s">
        <v>80</v>
      </c>
      <c r="I9" s="367"/>
      <c r="J9" s="23"/>
      <c r="K9" s="23"/>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233"/>
      <c r="B10" s="238"/>
      <c r="C10" s="268" t="s">
        <v>242</v>
      </c>
      <c r="D10" s="268"/>
      <c r="E10" s="268"/>
      <c r="F10" s="268"/>
      <c r="G10" s="234"/>
      <c r="H10" s="111"/>
      <c r="I10" s="367"/>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233"/>
      <c r="B11" s="238"/>
      <c r="C11" s="103"/>
      <c r="D11" s="342" t="s">
        <v>313</v>
      </c>
      <c r="E11" s="343"/>
      <c r="F11" s="343"/>
      <c r="G11" s="344"/>
      <c r="H11" s="111" t="s">
        <v>80</v>
      </c>
      <c r="I11" s="367"/>
      <c r="J11" s="23"/>
      <c r="K11" s="23"/>
      <c r="L11" s="23"/>
      <c r="M11" s="23"/>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233"/>
      <c r="B12" s="238"/>
      <c r="C12" s="268" t="s">
        <v>59</v>
      </c>
      <c r="D12" s="268"/>
      <c r="E12" s="268"/>
      <c r="F12" s="268"/>
      <c r="G12" s="234"/>
      <c r="H12" s="111"/>
      <c r="I12" s="367"/>
      <c r="J12" s="23"/>
      <c r="K12" s="23"/>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233"/>
      <c r="B13" s="238"/>
      <c r="C13" s="97"/>
      <c r="D13" s="268" t="s">
        <v>314</v>
      </c>
      <c r="E13" s="268"/>
      <c r="F13" s="268"/>
      <c r="G13" s="234"/>
      <c r="H13" s="111" t="s">
        <v>80</v>
      </c>
      <c r="I13" s="367"/>
      <c r="J13" s="23"/>
      <c r="K13" s="23"/>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thickBot="1">
      <c r="A14" s="233"/>
      <c r="B14" s="274"/>
      <c r="C14" s="268" t="s">
        <v>90</v>
      </c>
      <c r="D14" s="268"/>
      <c r="E14" s="268"/>
      <c r="F14" s="268"/>
      <c r="G14" s="234"/>
      <c r="H14" s="113"/>
      <c r="I14" s="368" t="s">
        <v>80</v>
      </c>
      <c r="J14" s="30"/>
      <c r="K14" s="30"/>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226" t="s">
        <v>46</v>
      </c>
      <c r="B15" s="229" t="s">
        <v>25</v>
      </c>
      <c r="C15" s="230"/>
      <c r="D15" s="230"/>
      <c r="E15" s="230"/>
      <c r="F15" s="230"/>
      <c r="G15" s="230"/>
      <c r="H15" s="25"/>
      <c r="I15" s="369"/>
      <c r="J15" s="26"/>
      <c r="K15" s="26"/>
      <c r="L15" s="26"/>
      <c r="M15" s="26"/>
      <c r="N15" s="26"/>
      <c r="O15" s="26"/>
      <c r="P15" s="26"/>
      <c r="Q15" s="26"/>
      <c r="R15" s="26"/>
      <c r="S15" s="26"/>
      <c r="T15" s="26"/>
      <c r="U15" s="26"/>
      <c r="V15" s="26"/>
      <c r="W15" s="26"/>
      <c r="X15" s="26"/>
      <c r="Y15" s="26"/>
      <c r="Z15" s="26"/>
      <c r="AA15" s="26"/>
      <c r="AB15" s="26"/>
      <c r="AC15" s="26"/>
      <c r="AD15" s="26"/>
      <c r="AE15" s="26"/>
      <c r="AF15" s="27"/>
    </row>
    <row r="16" spans="1:32" s="17" customFormat="1" ht="13.5" customHeight="1">
      <c r="A16" s="227"/>
      <c r="B16" s="277"/>
      <c r="C16" s="216" t="s">
        <v>315</v>
      </c>
      <c r="D16" s="217"/>
      <c r="E16" s="217"/>
      <c r="F16" s="217"/>
      <c r="G16" s="273"/>
      <c r="H16" s="120" t="s">
        <v>80</v>
      </c>
      <c r="I16" s="366"/>
      <c r="J16" s="106"/>
      <c r="K16" s="117"/>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227"/>
      <c r="B17" s="238"/>
      <c r="C17" s="216" t="s">
        <v>316</v>
      </c>
      <c r="D17" s="217"/>
      <c r="E17" s="217"/>
      <c r="F17" s="217"/>
      <c r="G17" s="273"/>
      <c r="H17" s="112"/>
      <c r="I17" s="367"/>
      <c r="J17" s="370"/>
      <c r="K17" s="23"/>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thickBot="1">
      <c r="A18" s="227"/>
      <c r="B18" s="238"/>
      <c r="C18" s="107"/>
      <c r="D18" s="214" t="s">
        <v>300</v>
      </c>
      <c r="E18" s="215"/>
      <c r="F18" s="215"/>
      <c r="G18" s="312"/>
      <c r="H18" s="102"/>
      <c r="I18" s="367" t="s">
        <v>80</v>
      </c>
      <c r="J18" s="33"/>
      <c r="K18" s="23"/>
      <c r="L18" s="23"/>
      <c r="M18" s="23"/>
      <c r="N18" s="23"/>
      <c r="O18" s="23"/>
      <c r="P18" s="23"/>
      <c r="Q18" s="23"/>
      <c r="R18" s="23"/>
      <c r="S18" s="23"/>
      <c r="T18" s="23"/>
      <c r="U18" s="23"/>
      <c r="V18" s="23"/>
      <c r="W18" s="23"/>
      <c r="X18" s="23"/>
      <c r="Y18" s="23"/>
      <c r="Z18" s="23"/>
      <c r="AA18" s="23"/>
      <c r="AB18" s="23"/>
      <c r="AC18" s="23"/>
      <c r="AD18" s="23"/>
      <c r="AE18" s="23"/>
      <c r="AF18" s="24"/>
    </row>
    <row r="19" spans="1:32" s="17" customFormat="1" ht="24" customHeight="1">
      <c r="A19" s="218" t="s">
        <v>47</v>
      </c>
      <c r="B19" s="310"/>
      <c r="C19" s="221"/>
      <c r="D19" s="221"/>
      <c r="E19" s="221"/>
      <c r="F19" s="222"/>
      <c r="G19" s="35" t="s">
        <v>36</v>
      </c>
      <c r="H19" s="37" t="s">
        <v>81</v>
      </c>
      <c r="I19" s="37" t="s">
        <v>82</v>
      </c>
      <c r="J19" s="37"/>
      <c r="K19" s="37"/>
      <c r="L19" s="37"/>
      <c r="M19" s="37"/>
      <c r="N19" s="37"/>
      <c r="O19" s="37"/>
      <c r="P19" s="37"/>
      <c r="Q19" s="37"/>
      <c r="R19" s="37"/>
      <c r="S19" s="37"/>
      <c r="T19" s="37"/>
      <c r="U19" s="37"/>
      <c r="V19" s="37"/>
      <c r="W19" s="37"/>
      <c r="X19" s="37"/>
      <c r="Y19" s="37"/>
      <c r="Z19" s="37"/>
      <c r="AA19" s="37"/>
      <c r="AB19" s="37"/>
      <c r="AC19" s="37"/>
      <c r="AD19" s="37"/>
      <c r="AE19" s="37"/>
      <c r="AF19" s="38"/>
    </row>
    <row r="20" spans="1:32" s="17" customFormat="1" ht="27" customHeight="1">
      <c r="A20" s="219"/>
      <c r="B20" s="223"/>
      <c r="C20" s="224"/>
      <c r="D20" s="224"/>
      <c r="E20" s="224"/>
      <c r="F20" s="225"/>
      <c r="G20" s="39" t="s">
        <v>37</v>
      </c>
      <c r="H20" s="40"/>
      <c r="I20" s="94"/>
      <c r="J20" s="94"/>
      <c r="K20" s="94"/>
      <c r="L20" s="94"/>
      <c r="M20" s="94"/>
      <c r="N20" s="94"/>
      <c r="O20" s="94"/>
      <c r="P20" s="94"/>
      <c r="Q20" s="94"/>
      <c r="R20" s="94"/>
      <c r="S20" s="94"/>
      <c r="T20" s="94"/>
      <c r="U20" s="94"/>
      <c r="V20" s="94"/>
      <c r="W20" s="94"/>
      <c r="X20" s="94"/>
      <c r="Y20" s="94"/>
      <c r="Z20" s="94"/>
      <c r="AA20" s="94"/>
      <c r="AB20" s="94"/>
      <c r="AC20" s="94"/>
      <c r="AD20" s="94"/>
      <c r="AE20" s="94"/>
      <c r="AF20" s="42"/>
    </row>
    <row r="21" spans="1:32" s="17" customFormat="1" ht="27" customHeight="1">
      <c r="A21" s="219"/>
      <c r="B21" s="223"/>
      <c r="C21" s="224"/>
      <c r="D21" s="224"/>
      <c r="E21" s="224"/>
      <c r="F21" s="225"/>
      <c r="G21" s="39" t="s">
        <v>38</v>
      </c>
      <c r="H21" s="43"/>
      <c r="I21" s="44"/>
      <c r="J21" s="44"/>
      <c r="K21" s="44"/>
      <c r="L21" s="44"/>
      <c r="M21" s="44"/>
      <c r="N21" s="44"/>
      <c r="O21" s="44"/>
      <c r="P21" s="44"/>
      <c r="Q21" s="44"/>
      <c r="R21" s="44"/>
      <c r="S21" s="44"/>
      <c r="T21" s="44"/>
      <c r="U21" s="44"/>
      <c r="V21" s="44"/>
      <c r="W21" s="44"/>
      <c r="X21" s="44"/>
      <c r="Y21" s="44"/>
      <c r="Z21" s="44"/>
      <c r="AA21" s="44"/>
      <c r="AB21" s="44"/>
      <c r="AC21" s="44"/>
      <c r="AD21" s="44"/>
      <c r="AE21" s="44"/>
      <c r="AF21" s="45"/>
    </row>
    <row r="22" spans="1:32" s="17" customFormat="1" ht="24.75" customHeight="1">
      <c r="A22" s="219"/>
      <c r="B22" s="223" t="s">
        <v>83</v>
      </c>
      <c r="C22" s="224"/>
      <c r="D22" s="224"/>
      <c r="E22" s="224"/>
      <c r="F22" s="225"/>
      <c r="G22" s="134" t="s">
        <v>1</v>
      </c>
      <c r="H22" s="40"/>
      <c r="I22" s="94"/>
      <c r="J22" s="94"/>
      <c r="K22" s="94"/>
      <c r="L22" s="94"/>
      <c r="M22" s="94"/>
      <c r="N22" s="70"/>
      <c r="O22" s="94"/>
      <c r="P22" s="94"/>
      <c r="Q22" s="94"/>
      <c r="R22" s="94"/>
      <c r="S22" s="94"/>
      <c r="T22" s="94"/>
      <c r="U22" s="94"/>
      <c r="V22" s="94"/>
      <c r="W22" s="94"/>
      <c r="X22" s="94"/>
      <c r="Y22" s="94"/>
      <c r="Z22" s="94"/>
      <c r="AA22" s="94"/>
      <c r="AB22" s="94"/>
      <c r="AC22" s="94"/>
      <c r="AD22" s="94"/>
      <c r="AE22" s="94"/>
      <c r="AF22" s="42"/>
    </row>
    <row r="23" spans="1:32" s="17" customFormat="1" ht="24.75" customHeight="1">
      <c r="A23" s="258" t="s">
        <v>48</v>
      </c>
      <c r="B23" s="260" t="s">
        <v>40</v>
      </c>
      <c r="C23" s="260"/>
      <c r="D23" s="260"/>
      <c r="E23" s="260"/>
      <c r="F23" s="261" t="str">
        <f>GetBugSheetName()</f>
        <v>Edit_Logout_</v>
      </c>
      <c r="G23" s="262"/>
      <c r="H23" s="60"/>
      <c r="I23" s="53"/>
      <c r="J23" s="53"/>
      <c r="K23" s="53"/>
      <c r="L23" s="53"/>
      <c r="M23" s="53"/>
      <c r="N23" s="53"/>
      <c r="O23" s="53"/>
      <c r="P23" s="53"/>
      <c r="Q23" s="53"/>
      <c r="R23" s="53"/>
      <c r="S23" s="53"/>
      <c r="T23" s="53"/>
      <c r="U23" s="53"/>
      <c r="V23" s="53"/>
      <c r="W23" s="53"/>
      <c r="X23" s="53"/>
      <c r="Y23" s="53"/>
      <c r="Z23" s="53"/>
      <c r="AA23" s="53"/>
      <c r="AB23" s="53"/>
      <c r="AC23" s="53"/>
      <c r="AD23" s="53"/>
      <c r="AE23" s="53"/>
      <c r="AF23" s="54"/>
    </row>
    <row r="24" spans="1:32" s="17" customFormat="1" ht="36" customHeight="1" thickBot="1">
      <c r="A24" s="259"/>
      <c r="B24" s="246" t="s">
        <v>30</v>
      </c>
      <c r="C24" s="247"/>
      <c r="D24" s="247"/>
      <c r="E24" s="248"/>
      <c r="F24" s="246"/>
      <c r="G24" s="263"/>
      <c r="H24" s="61"/>
      <c r="I24" s="55"/>
      <c r="J24" s="55"/>
      <c r="K24" s="55"/>
      <c r="L24" s="55"/>
      <c r="M24" s="55"/>
      <c r="N24" s="55"/>
      <c r="O24" s="55"/>
      <c r="P24" s="55"/>
      <c r="Q24" s="55"/>
      <c r="R24" s="55"/>
      <c r="S24" s="55" t="str">
        <f t="shared" ref="S24:AF24" si="1">IF(S23="","",(SUM(LEN(S23)-LEN(SUBSTITUTE(S23,",","")))/LEN(",")) + 1 )</f>
        <v/>
      </c>
      <c r="T24" s="55" t="str">
        <f t="shared" si="1"/>
        <v/>
      </c>
      <c r="U24" s="55" t="str">
        <f t="shared" si="1"/>
        <v/>
      </c>
      <c r="V24" s="55" t="str">
        <f t="shared" si="1"/>
        <v/>
      </c>
      <c r="W24" s="55" t="str">
        <f t="shared" si="1"/>
        <v/>
      </c>
      <c r="X24" s="55" t="str">
        <f t="shared" si="1"/>
        <v/>
      </c>
      <c r="Y24" s="55" t="str">
        <f t="shared" si="1"/>
        <v/>
      </c>
      <c r="Z24" s="55" t="str">
        <f t="shared" si="1"/>
        <v/>
      </c>
      <c r="AA24" s="55" t="str">
        <f t="shared" si="1"/>
        <v/>
      </c>
      <c r="AB24" s="55" t="str">
        <f t="shared" si="1"/>
        <v/>
      </c>
      <c r="AC24" s="55" t="str">
        <f t="shared" si="1"/>
        <v/>
      </c>
      <c r="AD24" s="55" t="str">
        <f t="shared" si="1"/>
        <v/>
      </c>
      <c r="AE24" s="55" t="str">
        <f t="shared" si="1"/>
        <v/>
      </c>
      <c r="AF24" s="56" t="str">
        <f t="shared" si="1"/>
        <v/>
      </c>
    </row>
    <row r="25" spans="1:32" s="17" customFormat="1">
      <c r="H25" s="47"/>
      <c r="I25" s="47"/>
      <c r="J25" s="47"/>
      <c r="K25" s="47"/>
      <c r="L25" s="47"/>
      <c r="M25" s="47"/>
      <c r="N25" s="48"/>
      <c r="O25" s="49"/>
      <c r="P25" s="47"/>
      <c r="Q25" s="47"/>
      <c r="R25" s="47"/>
      <c r="S25" s="47"/>
      <c r="T25" s="47"/>
      <c r="U25" s="47"/>
      <c r="V25" s="47"/>
    </row>
  </sheetData>
  <sheetProtection insertRows="0"/>
  <protectedRanges>
    <protectedRange sqref="B15:G15 B16:B18" name="Range2_1"/>
    <protectedRange sqref="H20:AF23 L19:AF19" name="Range3_1_1"/>
    <protectedRange sqref="H4:AF4 L5:AF18" name="Range2_1_1"/>
    <protectedRange sqref="D9 D10:E10 F9:G11 B5:G5 G12:G13 D11 B12:E13 B14 D7 F7:G7 B6:C11" name="Range2_1_6"/>
    <protectedRange sqref="B4:G4" name="Range2_1_2_12"/>
    <protectedRange sqref="G14 C14:E14" name="Range2_1_4_1"/>
    <protectedRange sqref="C17:G17" name="Range2_1_8_1_1"/>
    <protectedRange sqref="C18:G18" name="Range2_1_11_1_1_1"/>
    <protectedRange sqref="C16:G16" name="Range2_1_12"/>
    <protectedRange sqref="H17:K18 H8:K15" name="Range2_1_1_1"/>
    <protectedRange sqref="K16 I16" name="Range2_1_6_1"/>
    <protectedRange sqref="H5:K7" name="Range2_1_6_1_1"/>
    <protectedRange sqref="H19:K19" name="Range3_1_1_1"/>
    <protectedRange sqref="B1:O1 P2 T1 B2:E2" name="Range1_1_1"/>
    <protectedRange sqref="P2 AC2:AF2" name="Range1_1_1_1"/>
    <protectedRange sqref="AC1:AF1" name="Range1_1_1_3"/>
  </protectedRanges>
  <mergeCells count="41">
    <mergeCell ref="C14:G14"/>
    <mergeCell ref="C6:G6"/>
    <mergeCell ref="D7:G7"/>
    <mergeCell ref="B6:B14"/>
    <mergeCell ref="A19:A22"/>
    <mergeCell ref="B19:F19"/>
    <mergeCell ref="B20:F20"/>
    <mergeCell ref="B21:F21"/>
    <mergeCell ref="B22:F22"/>
    <mergeCell ref="A23:A24"/>
    <mergeCell ref="B23:E23"/>
    <mergeCell ref="F23:G23"/>
    <mergeCell ref="B24:E24"/>
    <mergeCell ref="F24:G24"/>
    <mergeCell ref="A15:A18"/>
    <mergeCell ref="B15:G15"/>
    <mergeCell ref="C16:G16"/>
    <mergeCell ref="C17:G17"/>
    <mergeCell ref="A4:A14"/>
    <mergeCell ref="B4:G4"/>
    <mergeCell ref="B5:G5"/>
    <mergeCell ref="C8:G8"/>
    <mergeCell ref="D9:G9"/>
    <mergeCell ref="C10:G10"/>
    <mergeCell ref="D11:G11"/>
    <mergeCell ref="C12:G12"/>
    <mergeCell ref="D18:G18"/>
    <mergeCell ref="B16:B18"/>
    <mergeCell ref="D13:G13"/>
    <mergeCell ref="AC2:AF2"/>
    <mergeCell ref="B1:E1"/>
    <mergeCell ref="F1:O1"/>
    <mergeCell ref="P1:S1"/>
    <mergeCell ref="T1:Z1"/>
    <mergeCell ref="AA1:AB1"/>
    <mergeCell ref="AC1:AF1"/>
    <mergeCell ref="B2:E2"/>
    <mergeCell ref="F2:H2"/>
    <mergeCell ref="I2:O2"/>
    <mergeCell ref="P2:Z2"/>
    <mergeCell ref="AA2:AB2"/>
  </mergeCells>
  <conditionalFormatting sqref="H3:AF24">
    <cfRule type="expression" dxfId="26" priority="19" stopIfTrue="1">
      <formula>H$22="NA"</formula>
    </cfRule>
    <cfRule type="expression" dxfId="25" priority="20" stopIfTrue="1">
      <formula>H$22="NG"</formula>
    </cfRule>
  </conditionalFormatting>
  <conditionalFormatting sqref="J8:K15">
    <cfRule type="expression" dxfId="24" priority="13" stopIfTrue="1">
      <formula>J$22="NA"</formula>
    </cfRule>
    <cfRule type="expression" dxfId="23" priority="14" stopIfTrue="1">
      <formula>J$22="NG"</formula>
    </cfRule>
  </conditionalFormatting>
  <conditionalFormatting sqref="J19:K19">
    <cfRule type="expression" dxfId="22" priority="11" stopIfTrue="1">
      <formula>#REF!="NA"</formula>
    </cfRule>
    <cfRule type="expression" dxfId="21" priority="12" stopIfTrue="1">
      <formula>#REF!="NG"</formula>
    </cfRule>
  </conditionalFormatting>
  <conditionalFormatting sqref="K16 J5:K7">
    <cfRule type="expression" dxfId="20" priority="8" stopIfTrue="1">
      <formula>#REF!="NG"</formula>
    </cfRule>
    <cfRule type="expression" dxfId="19" priority="9" stopIfTrue="1">
      <formula>#REF!="NA"</formula>
    </cfRule>
    <cfRule type="expression" dxfId="18" priority="10" stopIfTrue="1">
      <formula>#REF!="NG"</formula>
    </cfRule>
  </conditionalFormatting>
  <conditionalFormatting sqref="H8:I15">
    <cfRule type="expression" dxfId="15" priority="6" stopIfTrue="1">
      <formula>H$22="NA"</formula>
    </cfRule>
    <cfRule type="expression" dxfId="14" priority="7" stopIfTrue="1">
      <formula>H$22="NG"</formula>
    </cfRule>
  </conditionalFormatting>
  <conditionalFormatting sqref="H19:I19">
    <cfRule type="expression" dxfId="11" priority="4" stopIfTrue="1">
      <formula>#REF!="NA"</formula>
    </cfRule>
    <cfRule type="expression" dxfId="10" priority="5" stopIfTrue="1">
      <formula>#REF!="NG"</formula>
    </cfRule>
  </conditionalFormatting>
  <conditionalFormatting sqref="I16 H5:I7">
    <cfRule type="expression" dxfId="7" priority="1" stopIfTrue="1">
      <formula>#REF!="NG"</formula>
    </cfRule>
    <cfRule type="expression" dxfId="6" priority="2" stopIfTrue="1">
      <formula>#REF!="NA"</formula>
    </cfRule>
    <cfRule type="expression" dxfId="5" priority="3" stopIfTrue="1">
      <formula>#REF!="NG"</formula>
    </cfRule>
  </conditionalFormatting>
  <dataValidations count="10">
    <dataValidation allowBlank="1" showInputMessage="1" showErrorMessage="1" promptTitle="Condition Type" prompt="N : Normal _x000a_A : Abnormal _x000a_B : Boundary" sqref="G19"/>
    <dataValidation allowBlank="1" showInputMessage="1" showErrorMessage="1" promptTitle="Enter" prompt="Name of the person who performed the test" sqref="G20"/>
    <dataValidation allowBlank="1" showInputMessage="1" showErrorMessage="1" promptTitle="Testing Date" prompt="Date on which test was performed in yyyy/mm/dd format" sqref="G21"/>
    <dataValidation allowBlank="1" showInputMessage="1" showErrorMessage="1" promptTitle="Test Result" prompt="OK : Result is OK      _x000a_NG : Result is not as expected_x000a_NA : Not Applicable      _x000a_PT : Testing Pending (as Data not available/ cannot be generated currently)" sqref="G22"/>
    <dataValidation allowBlank="1" showInputMessage="1" showErrorMessage="1" promptTitle="Bug ID" prompt="Unique ID throughout the project._x000a_For every Bug found during Test as well as Re-Test, a new Bug ID needs to be entered here (as a comma seperated value)" sqref="B23:E23"/>
    <dataValidation allowBlank="1" showInputMessage="1" showErrorMessage="1" promptTitle="PCL sheet name" prompt=" " sqref="F23:G23"/>
    <dataValidation type="list" allowBlank="1" showInputMessage="1" showErrorMessage="1" sqref="H22:AF22">
      <formula1>"OK, NG, NA, PT"</formula1>
    </dataValidation>
    <dataValidation type="list" allowBlank="1" showInputMessage="1" showErrorMessage="1" sqref="H19:AF19">
      <formula1>"N, A, B"</formula1>
    </dataValidation>
    <dataValidation allowBlank="1" showInputMessage="1" showErrorMessage="1" promptTitle="Check points" prompt="that need / need not be executed" sqref="A15:A18"/>
    <dataValidation allowBlank="1" showInputMessage="1" showErrorMessage="1" promptTitle="Input conditions" prompt="that need to be checked." sqref="A4:A14"/>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1.xml><?xml version="1.0" encoding="utf-8"?>
<worksheet xmlns="http://schemas.openxmlformats.org/spreadsheetml/2006/main" xmlns:r="http://schemas.openxmlformats.org/officeDocument/2006/relationships">
  <sheetPr codeName="Sheet13"/>
  <dimension ref="A1:AF17"/>
  <sheetViews>
    <sheetView view="pageBreakPreview" zoomScale="85" zoomScaleNormal="70" workbookViewId="0">
      <pane xSplit="7" ySplit="3" topLeftCell="H4" activePane="bottomRight" state="frozen"/>
      <selection activeCell="A5" sqref="A5"/>
      <selection pane="topRight" activeCell="A5" sqref="A5"/>
      <selection pane="bottomLeft" activeCell="A5" sqref="A5"/>
      <selection pane="bottomRight" activeCell="G24" sqref="G24"/>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143</v>
      </c>
      <c r="J2" s="247"/>
      <c r="K2" s="247"/>
      <c r="L2" s="247"/>
      <c r="M2" s="247"/>
      <c r="N2" s="247"/>
      <c r="O2" s="248"/>
      <c r="P2" s="243"/>
      <c r="Q2" s="244"/>
      <c r="R2" s="244"/>
      <c r="S2" s="244"/>
      <c r="T2" s="244"/>
      <c r="U2" s="244"/>
      <c r="V2" s="244"/>
      <c r="W2" s="244"/>
      <c r="X2" s="244"/>
      <c r="Y2" s="244"/>
      <c r="Z2" s="245"/>
      <c r="AA2" s="255" t="s">
        <v>228</v>
      </c>
      <c r="AB2" s="256"/>
      <c r="AC2" s="243" t="s">
        <v>295</v>
      </c>
      <c r="AD2" s="244"/>
      <c r="AE2" s="244"/>
      <c r="AF2" s="257"/>
    </row>
    <row r="3" spans="1:32" ht="37.5" customHeight="1" thickBot="1">
      <c r="A3" s="66" t="s">
        <v>43</v>
      </c>
      <c r="B3" s="10"/>
      <c r="C3" s="10"/>
      <c r="D3" s="10"/>
      <c r="E3" s="10"/>
      <c r="F3" s="10"/>
      <c r="G3" s="65" t="s">
        <v>44</v>
      </c>
      <c r="H3" s="11">
        <f>IF(COUNTA(H4:H11)&gt;0,1,"")</f>
        <v>1</v>
      </c>
      <c r="I3" s="12">
        <f>IF(COUNTA(I4:I11)&gt;0,IF(H3&gt;0,H3+1,""),"")</f>
        <v>2</v>
      </c>
      <c r="J3" s="12"/>
      <c r="K3" s="12" t="str">
        <f t="shared" ref="K3:AF3" si="0">IF(COUNTA(K4:K11)&gt;0,IF(J3&gt;0,J3+1,""),"")</f>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45</v>
      </c>
      <c r="B4" s="313" t="s">
        <v>292</v>
      </c>
      <c r="C4" s="313"/>
      <c r="D4" s="313"/>
      <c r="E4" s="313"/>
      <c r="F4" s="313"/>
      <c r="G4" s="314"/>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143</v>
      </c>
      <c r="C5" s="315"/>
      <c r="D5" s="315"/>
      <c r="E5" s="315"/>
      <c r="F5" s="315"/>
      <c r="G5" s="316"/>
      <c r="H5" s="18"/>
      <c r="I5" s="156"/>
      <c r="J5" s="156"/>
      <c r="K5" s="156"/>
      <c r="L5" s="156"/>
      <c r="M5" s="156"/>
      <c r="N5" s="156"/>
      <c r="O5" s="156"/>
      <c r="P5" s="156"/>
      <c r="Q5" s="156"/>
      <c r="R5" s="156"/>
      <c r="S5" s="156"/>
      <c r="T5" s="156"/>
      <c r="U5" s="156"/>
      <c r="V5" s="156"/>
      <c r="W5" s="156"/>
      <c r="X5" s="156"/>
      <c r="Y5" s="156"/>
      <c r="Z5" s="156"/>
      <c r="AA5" s="156"/>
      <c r="AB5" s="156"/>
      <c r="AC5" s="156"/>
      <c r="AD5" s="156"/>
      <c r="AE5" s="156"/>
      <c r="AF5" s="20"/>
    </row>
    <row r="6" spans="1:32" s="17" customFormat="1" ht="13.5" customHeight="1">
      <c r="A6" s="233"/>
      <c r="B6" s="157"/>
      <c r="C6" s="320" t="s">
        <v>144</v>
      </c>
      <c r="D6" s="320"/>
      <c r="E6" s="320"/>
      <c r="F6" s="320"/>
      <c r="G6" s="336"/>
      <c r="H6" s="18" t="s">
        <v>80</v>
      </c>
      <c r="I6" s="156"/>
      <c r="J6" s="123"/>
      <c r="K6" s="156"/>
      <c r="L6" s="23"/>
      <c r="M6" s="23"/>
      <c r="N6" s="23"/>
      <c r="O6" s="23"/>
      <c r="P6" s="23"/>
      <c r="Q6" s="23"/>
      <c r="R6" s="23"/>
      <c r="S6" s="23"/>
      <c r="T6" s="23"/>
      <c r="U6" s="23"/>
      <c r="V6" s="23"/>
      <c r="W6" s="23"/>
      <c r="X6" s="23"/>
      <c r="Y6" s="23"/>
      <c r="Z6" s="23"/>
      <c r="AA6" s="23"/>
      <c r="AB6" s="23"/>
      <c r="AC6" s="23"/>
      <c r="AD6" s="23"/>
      <c r="AE6" s="23"/>
      <c r="AF6" s="24"/>
    </row>
    <row r="7" spans="1:32" s="17" customFormat="1" ht="13.5" customHeight="1" thickBot="1">
      <c r="A7" s="233"/>
      <c r="B7" s="333" t="s">
        <v>65</v>
      </c>
      <c r="C7" s="334"/>
      <c r="D7" s="334"/>
      <c r="E7" s="334"/>
      <c r="F7" s="334"/>
      <c r="G7" s="335"/>
      <c r="H7" s="22"/>
      <c r="I7" s="23" t="s">
        <v>80</v>
      </c>
      <c r="J7" s="88"/>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226" t="s">
        <v>46</v>
      </c>
      <c r="B8" s="229" t="s">
        <v>25</v>
      </c>
      <c r="C8" s="230"/>
      <c r="D8" s="230"/>
      <c r="E8" s="230"/>
      <c r="F8" s="230"/>
      <c r="G8" s="230"/>
      <c r="H8" s="25"/>
      <c r="I8" s="26"/>
      <c r="J8" s="139"/>
      <c r="K8" s="26"/>
      <c r="L8" s="26"/>
      <c r="M8" s="26"/>
      <c r="N8" s="26"/>
      <c r="O8" s="26"/>
      <c r="P8" s="26"/>
      <c r="Q8" s="26"/>
      <c r="R8" s="26"/>
      <c r="S8" s="26"/>
      <c r="T8" s="26"/>
      <c r="U8" s="26"/>
      <c r="V8" s="26"/>
      <c r="W8" s="26"/>
      <c r="X8" s="26"/>
      <c r="Y8" s="26"/>
      <c r="Z8" s="26"/>
      <c r="AA8" s="26"/>
      <c r="AB8" s="26"/>
      <c r="AC8" s="26"/>
      <c r="AD8" s="26"/>
      <c r="AE8" s="26"/>
      <c r="AF8" s="27"/>
    </row>
    <row r="9" spans="1:32" s="17" customFormat="1" ht="13.5" customHeight="1">
      <c r="A9" s="227"/>
      <c r="B9" s="277"/>
      <c r="C9" s="216" t="s">
        <v>145</v>
      </c>
      <c r="D9" s="217"/>
      <c r="E9" s="217"/>
      <c r="F9" s="217"/>
      <c r="G9" s="273"/>
      <c r="H9" s="86" t="s">
        <v>80</v>
      </c>
      <c r="I9" s="87"/>
      <c r="J9" s="110"/>
      <c r="K9" s="87"/>
      <c r="L9" s="23"/>
      <c r="M9" s="23"/>
      <c r="N9" s="23"/>
      <c r="O9" s="23"/>
      <c r="P9" s="23"/>
      <c r="Q9" s="23"/>
      <c r="R9" s="23"/>
      <c r="S9" s="23"/>
      <c r="T9" s="23"/>
      <c r="U9" s="23"/>
      <c r="V9" s="23"/>
      <c r="W9" s="23"/>
      <c r="X9" s="23"/>
      <c r="Y9" s="23"/>
      <c r="Z9" s="23"/>
      <c r="AA9" s="23"/>
      <c r="AB9" s="23"/>
      <c r="AC9" s="23"/>
      <c r="AD9" s="23"/>
      <c r="AE9" s="23"/>
      <c r="AF9" s="24"/>
    </row>
    <row r="10" spans="1:32" s="17" customFormat="1" ht="13.5" customHeight="1" thickBot="1">
      <c r="A10" s="227"/>
      <c r="B10" s="274"/>
      <c r="C10" s="216" t="s">
        <v>146</v>
      </c>
      <c r="D10" s="217"/>
      <c r="E10" s="217"/>
      <c r="F10" s="217"/>
      <c r="G10" s="273"/>
      <c r="H10" s="22"/>
      <c r="I10" s="23" t="s">
        <v>80</v>
      </c>
      <c r="J10" s="88"/>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24" customHeight="1">
      <c r="A11" s="218" t="s">
        <v>47</v>
      </c>
      <c r="B11" s="220"/>
      <c r="C11" s="221"/>
      <c r="D11" s="221"/>
      <c r="E11" s="221"/>
      <c r="F11" s="222"/>
      <c r="G11" s="35" t="s">
        <v>36</v>
      </c>
      <c r="H11" s="36" t="s">
        <v>81</v>
      </c>
      <c r="I11" s="37" t="s">
        <v>82</v>
      </c>
      <c r="J11" s="140"/>
      <c r="K11" s="37"/>
      <c r="L11" s="37"/>
      <c r="M11" s="37"/>
      <c r="N11" s="37"/>
      <c r="O11" s="37"/>
      <c r="P11" s="37"/>
      <c r="Q11" s="37"/>
      <c r="R11" s="37"/>
      <c r="S11" s="37"/>
      <c r="T11" s="37"/>
      <c r="U11" s="37"/>
      <c r="V11" s="37"/>
      <c r="W11" s="37"/>
      <c r="X11" s="37"/>
      <c r="Y11" s="37"/>
      <c r="Z11" s="37"/>
      <c r="AA11" s="37"/>
      <c r="AB11" s="37"/>
      <c r="AC11" s="37"/>
      <c r="AD11" s="37"/>
      <c r="AE11" s="37"/>
      <c r="AF11" s="38"/>
    </row>
    <row r="12" spans="1:32" s="17" customFormat="1" ht="27" customHeight="1">
      <c r="A12" s="219"/>
      <c r="B12" s="223"/>
      <c r="C12" s="224"/>
      <c r="D12" s="224"/>
      <c r="E12" s="224"/>
      <c r="F12" s="225"/>
      <c r="G12" s="39" t="s">
        <v>37</v>
      </c>
      <c r="H12" s="40"/>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42"/>
    </row>
    <row r="13" spans="1:32" s="17" customFormat="1" ht="27" customHeight="1">
      <c r="A13" s="219"/>
      <c r="B13" s="223"/>
      <c r="C13" s="224"/>
      <c r="D13" s="224"/>
      <c r="E13" s="224"/>
      <c r="F13" s="225"/>
      <c r="G13" s="39" t="s">
        <v>38</v>
      </c>
      <c r="H13" s="43"/>
      <c r="I13" s="44"/>
      <c r="J13" s="44"/>
      <c r="K13" s="44"/>
      <c r="L13" s="44"/>
      <c r="M13" s="44"/>
      <c r="N13" s="44"/>
      <c r="O13" s="44"/>
      <c r="P13" s="44"/>
      <c r="Q13" s="44"/>
      <c r="R13" s="44"/>
      <c r="S13" s="44"/>
      <c r="T13" s="44"/>
      <c r="U13" s="44"/>
      <c r="V13" s="44"/>
      <c r="W13" s="44"/>
      <c r="X13" s="44"/>
      <c r="Y13" s="44"/>
      <c r="Z13" s="44"/>
      <c r="AA13" s="44"/>
      <c r="AB13" s="44"/>
      <c r="AC13" s="44"/>
      <c r="AD13" s="44"/>
      <c r="AE13" s="44"/>
      <c r="AF13" s="45"/>
    </row>
    <row r="14" spans="1:32" s="17" customFormat="1" ht="24.75" customHeight="1">
      <c r="A14" s="219"/>
      <c r="B14" s="223" t="s">
        <v>83</v>
      </c>
      <c r="C14" s="224"/>
      <c r="D14" s="224"/>
      <c r="E14" s="224"/>
      <c r="F14" s="225"/>
      <c r="G14" s="158" t="s">
        <v>1</v>
      </c>
      <c r="H14" s="40"/>
      <c r="I14" s="155"/>
      <c r="J14" s="155"/>
      <c r="K14" s="155"/>
      <c r="L14" s="155"/>
      <c r="M14" s="155"/>
      <c r="N14" s="70"/>
      <c r="O14" s="155"/>
      <c r="P14" s="155"/>
      <c r="Q14" s="155"/>
      <c r="R14" s="155"/>
      <c r="S14" s="155"/>
      <c r="T14" s="155"/>
      <c r="U14" s="155"/>
      <c r="V14" s="155"/>
      <c r="W14" s="155"/>
      <c r="X14" s="155"/>
      <c r="Y14" s="155"/>
      <c r="Z14" s="155"/>
      <c r="AA14" s="155"/>
      <c r="AB14" s="155"/>
      <c r="AC14" s="155"/>
      <c r="AD14" s="155"/>
      <c r="AE14" s="155"/>
      <c r="AF14" s="42"/>
    </row>
    <row r="15" spans="1:32" s="17" customFormat="1" ht="24.75" customHeight="1">
      <c r="A15" s="258" t="s">
        <v>48</v>
      </c>
      <c r="B15" s="260" t="s">
        <v>40</v>
      </c>
      <c r="C15" s="260"/>
      <c r="D15" s="260"/>
      <c r="E15" s="260"/>
      <c r="F15" s="261" t="str">
        <f>GetBugSheetName()</f>
        <v>Edit_Logout_</v>
      </c>
      <c r="G15" s="262"/>
      <c r="H15" s="60"/>
      <c r="I15" s="53"/>
      <c r="J15" s="53"/>
      <c r="K15" s="53"/>
      <c r="L15" s="53"/>
      <c r="M15" s="53"/>
      <c r="N15" s="53"/>
      <c r="O15" s="53"/>
      <c r="P15" s="53"/>
      <c r="Q15" s="53"/>
      <c r="R15" s="53"/>
      <c r="S15" s="53"/>
      <c r="T15" s="53"/>
      <c r="U15" s="53"/>
      <c r="V15" s="53"/>
      <c r="W15" s="53"/>
      <c r="X15" s="53"/>
      <c r="Y15" s="53"/>
      <c r="Z15" s="53"/>
      <c r="AA15" s="53"/>
      <c r="AB15" s="53"/>
      <c r="AC15" s="53"/>
      <c r="AD15" s="53"/>
      <c r="AE15" s="53"/>
      <c r="AF15" s="54"/>
    </row>
    <row r="16" spans="1:32" s="17" customFormat="1" ht="36" customHeight="1" thickBot="1">
      <c r="A16" s="259"/>
      <c r="B16" s="246" t="s">
        <v>30</v>
      </c>
      <c r="C16" s="247"/>
      <c r="D16" s="247"/>
      <c r="E16" s="248"/>
      <c r="F16" s="246"/>
      <c r="G16" s="263"/>
      <c r="H16" s="61"/>
      <c r="I16" s="55"/>
      <c r="J16" s="55"/>
      <c r="K16" s="55"/>
      <c r="L16" s="55"/>
      <c r="M16" s="55"/>
      <c r="N16" s="55"/>
      <c r="O16" s="55"/>
      <c r="P16" s="55"/>
      <c r="Q16" s="55"/>
      <c r="R16" s="55"/>
      <c r="S16" s="55" t="str">
        <f t="shared" ref="S16:AF16" si="1">IF(S15="","",(SUM(LEN(S15)-LEN(SUBSTITUTE(S15,",","")))/LEN(",")) + 1 )</f>
        <v/>
      </c>
      <c r="T16" s="55" t="str">
        <f t="shared" si="1"/>
        <v/>
      </c>
      <c r="U16" s="55" t="str">
        <f t="shared" si="1"/>
        <v/>
      </c>
      <c r="V16" s="55" t="str">
        <f t="shared" si="1"/>
        <v/>
      </c>
      <c r="W16" s="55" t="str">
        <f t="shared" si="1"/>
        <v/>
      </c>
      <c r="X16" s="55" t="str">
        <f t="shared" si="1"/>
        <v/>
      </c>
      <c r="Y16" s="55" t="str">
        <f t="shared" si="1"/>
        <v/>
      </c>
      <c r="Z16" s="55" t="str">
        <f t="shared" si="1"/>
        <v/>
      </c>
      <c r="AA16" s="55" t="str">
        <f t="shared" si="1"/>
        <v/>
      </c>
      <c r="AB16" s="55" t="str">
        <f t="shared" si="1"/>
        <v/>
      </c>
      <c r="AC16" s="55" t="str">
        <f t="shared" si="1"/>
        <v/>
      </c>
      <c r="AD16" s="55" t="str">
        <f t="shared" si="1"/>
        <v/>
      </c>
      <c r="AE16" s="55" t="str">
        <f t="shared" si="1"/>
        <v/>
      </c>
      <c r="AF16" s="56" t="str">
        <f t="shared" si="1"/>
        <v/>
      </c>
    </row>
    <row r="17" spans="8:22" s="17" customFormat="1">
      <c r="H17" s="47"/>
      <c r="I17" s="47"/>
      <c r="J17" s="47"/>
      <c r="K17" s="47"/>
      <c r="L17" s="47"/>
      <c r="M17" s="47"/>
      <c r="N17" s="48"/>
      <c r="O17" s="49"/>
      <c r="P17" s="47"/>
      <c r="Q17" s="47"/>
      <c r="R17" s="47"/>
      <c r="S17" s="47"/>
      <c r="T17" s="47"/>
      <c r="U17" s="47"/>
      <c r="V17" s="47"/>
    </row>
  </sheetData>
  <sheetProtection insertRows="0"/>
  <protectedRanges>
    <protectedRange sqref="B8:G8 B9:B10" name="Range2_1"/>
    <protectedRange sqref="H12:AF15 L11:AF11" name="Range3_1_1"/>
    <protectedRange sqref="H4:AF5 L6:AF10" name="Range2_1_1"/>
    <protectedRange sqref="B7 D5:G7 B5:C6" name="Range2_1_2"/>
    <protectedRange sqref="B4:G4" name="Range2_1_2_1"/>
    <protectedRange sqref="C9:G10" name="Range2_1_3"/>
    <protectedRange sqref="B1:O1 P2 T1 B2:E2" name="Range1_1_1_3"/>
    <protectedRange sqref="P2 AC2:AF2" name="Range1_1_1_1_1"/>
    <protectedRange sqref="AC1:AF1" name="Range1_1_1_2_1"/>
  </protectedRanges>
  <mergeCells count="32">
    <mergeCell ref="A11:A14"/>
    <mergeCell ref="B11:F11"/>
    <mergeCell ref="B12:F12"/>
    <mergeCell ref="B13:F13"/>
    <mergeCell ref="B14:F14"/>
    <mergeCell ref="A15:A16"/>
    <mergeCell ref="B15:E15"/>
    <mergeCell ref="F15:G15"/>
    <mergeCell ref="B16:E16"/>
    <mergeCell ref="F16:G16"/>
    <mergeCell ref="A4:A7"/>
    <mergeCell ref="B4:G4"/>
    <mergeCell ref="B5:G5"/>
    <mergeCell ref="C6:G6"/>
    <mergeCell ref="B7:G7"/>
    <mergeCell ref="A8:A10"/>
    <mergeCell ref="B8:G8"/>
    <mergeCell ref="B9:B10"/>
    <mergeCell ref="C9:G9"/>
    <mergeCell ref="C10:G10"/>
    <mergeCell ref="B2:E2"/>
    <mergeCell ref="F2:H2"/>
    <mergeCell ref="I2:O2"/>
    <mergeCell ref="P2:Z2"/>
    <mergeCell ref="AA2:AB2"/>
    <mergeCell ref="AC2:AF2"/>
    <mergeCell ref="B1:E1"/>
    <mergeCell ref="F1:O1"/>
    <mergeCell ref="P1:S1"/>
    <mergeCell ref="T1:Z1"/>
    <mergeCell ref="AA1:AB1"/>
    <mergeCell ref="AC1:AF1"/>
  </mergeCells>
  <conditionalFormatting sqref="H3:AF16">
    <cfRule type="expression" dxfId="1" priority="1" stopIfTrue="1">
      <formula>H$14="NA"</formula>
    </cfRule>
    <cfRule type="expression" dxfId="0" priority="2" stopIfTrue="1">
      <formula>H$14="NG"</formula>
    </cfRule>
  </conditionalFormatting>
  <dataValidations count="10">
    <dataValidation allowBlank="1" showInputMessage="1" showErrorMessage="1" promptTitle="Input conditions" prompt="that need to be checked." sqref="A4:A7"/>
    <dataValidation allowBlank="1" showInputMessage="1" showErrorMessage="1" promptTitle="Check points" prompt="that need / need not be executed" sqref="A8:A10"/>
    <dataValidation type="list" allowBlank="1" showInputMessage="1" showErrorMessage="1" sqref="H11:AF11">
      <formula1>"N, A, B"</formula1>
    </dataValidation>
    <dataValidation type="list" allowBlank="1" showInputMessage="1" showErrorMessage="1" sqref="H14:AF14">
      <formula1>"OK, NG, NA, PT"</formula1>
    </dataValidation>
    <dataValidation allowBlank="1" showInputMessage="1" showErrorMessage="1" promptTitle="PCL sheet name" prompt=" " sqref="F15:G15"/>
    <dataValidation allowBlank="1" showInputMessage="1" showErrorMessage="1" promptTitle="Bug ID" prompt="Unique ID throughout the project._x000a_For every Bug found during Test as well as Re-Test, a new Bug ID needs to be entered here (as a comma seperated value)" sqref="B15:E15"/>
    <dataValidation allowBlank="1" showInputMessage="1" showErrorMessage="1" promptTitle="Test Result" prompt="OK : Result is OK      _x000a_NG : Result is not as expected_x000a_NA : Not Applicable      _x000a_PT : Testing Pending (as Data not available/ cannot be generated currently)" sqref="G14"/>
    <dataValidation allowBlank="1" showInputMessage="1" showErrorMessage="1" promptTitle="Testing Date" prompt="Date on which test was performed in yyyy/mm/dd format" sqref="G13"/>
    <dataValidation allowBlank="1" showInputMessage="1" showErrorMessage="1" promptTitle="Enter" prompt="Name of the person who performed the test" sqref="G12"/>
    <dataValidation allowBlank="1" showInputMessage="1" showErrorMessage="1" promptTitle="Condition Type" prompt="N : Normal _x000a_A : Abnormal _x000a_B : Boundary" sqref="G11"/>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2.xml><?xml version="1.0" encoding="utf-8"?>
<worksheet xmlns="http://schemas.openxmlformats.org/spreadsheetml/2006/main" xmlns:r="http://schemas.openxmlformats.org/officeDocument/2006/relationships">
  <sheetPr codeName="Sheet9"/>
  <dimension ref="A1:AF74"/>
  <sheetViews>
    <sheetView view="pageBreakPreview" zoomScale="85" zoomScaleNormal="70" workbookViewId="0">
      <pane xSplit="7" ySplit="3" topLeftCell="H46" activePane="bottomRight" state="frozen"/>
      <selection activeCell="B27" sqref="B27:G27"/>
      <selection pane="topRight" activeCell="B27" sqref="B27:G27"/>
      <selection pane="bottomLeft" activeCell="B27" sqref="B27:G27"/>
      <selection pane="bottomRight" activeCell="C58" sqref="C58:G58"/>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123</v>
      </c>
      <c r="J2" s="247"/>
      <c r="K2" s="247"/>
      <c r="L2" s="247"/>
      <c r="M2" s="247"/>
      <c r="N2" s="247"/>
      <c r="O2" s="248"/>
      <c r="P2" s="243"/>
      <c r="Q2" s="244"/>
      <c r="R2" s="244"/>
      <c r="S2" s="244"/>
      <c r="T2" s="244"/>
      <c r="U2" s="244"/>
      <c r="V2" s="244"/>
      <c r="W2" s="244"/>
      <c r="X2" s="244"/>
      <c r="Y2" s="244"/>
      <c r="Z2" s="245"/>
      <c r="AA2" s="255" t="s">
        <v>210</v>
      </c>
      <c r="AB2" s="256"/>
      <c r="AC2" s="243" t="s">
        <v>296</v>
      </c>
      <c r="AD2" s="244"/>
      <c r="AE2" s="244"/>
      <c r="AF2" s="257"/>
    </row>
    <row r="3" spans="1:32" ht="37.5" customHeight="1" thickBot="1">
      <c r="A3" s="66" t="s">
        <v>209</v>
      </c>
      <c r="B3" s="10"/>
      <c r="C3" s="10"/>
      <c r="D3" s="10"/>
      <c r="E3" s="10"/>
      <c r="F3" s="10"/>
      <c r="G3" s="65" t="s">
        <v>208</v>
      </c>
      <c r="H3" s="11">
        <f>IF(COUNTA(H4:H68)&gt;0,1,"")</f>
        <v>1</v>
      </c>
      <c r="I3" s="12">
        <f t="shared" ref="I3:AF3" si="0">IF(COUNTA(I4:I68)&gt;0,IF(H3&gt;0,H3+1,""),"")</f>
        <v>2</v>
      </c>
      <c r="J3" s="12">
        <f t="shared" si="0"/>
        <v>3</v>
      </c>
      <c r="K3" s="12">
        <f t="shared" si="0"/>
        <v>4</v>
      </c>
      <c r="L3" s="12">
        <f t="shared" si="0"/>
        <v>5</v>
      </c>
      <c r="M3" s="12">
        <f t="shared" si="0"/>
        <v>6</v>
      </c>
      <c r="N3" s="12">
        <f t="shared" si="0"/>
        <v>7</v>
      </c>
      <c r="O3" s="12">
        <f t="shared" si="0"/>
        <v>8</v>
      </c>
      <c r="P3" s="12">
        <f t="shared" si="0"/>
        <v>9</v>
      </c>
      <c r="Q3" s="12">
        <f t="shared" si="0"/>
        <v>10</v>
      </c>
      <c r="R3" s="12">
        <f t="shared" si="0"/>
        <v>11</v>
      </c>
      <c r="S3" s="12">
        <f t="shared" si="0"/>
        <v>12</v>
      </c>
      <c r="T3" s="12">
        <f t="shared" si="0"/>
        <v>13</v>
      </c>
      <c r="U3" s="12">
        <f t="shared" si="0"/>
        <v>14</v>
      </c>
      <c r="V3" s="12">
        <f t="shared" si="0"/>
        <v>15</v>
      </c>
      <c r="W3" s="12">
        <f t="shared" si="0"/>
        <v>16</v>
      </c>
      <c r="X3" s="12">
        <f t="shared" si="0"/>
        <v>17</v>
      </c>
      <c r="Y3" s="12">
        <f t="shared" si="0"/>
        <v>18</v>
      </c>
      <c r="Z3" s="12">
        <f t="shared" si="0"/>
        <v>19</v>
      </c>
      <c r="AA3" s="12">
        <f t="shared" si="0"/>
        <v>20</v>
      </c>
      <c r="AB3" s="12">
        <f t="shared" si="0"/>
        <v>21</v>
      </c>
      <c r="AC3" s="12">
        <f t="shared" si="0"/>
        <v>22</v>
      </c>
      <c r="AD3" s="12">
        <f t="shared" si="0"/>
        <v>23</v>
      </c>
      <c r="AE3" s="12">
        <f t="shared" si="0"/>
        <v>24</v>
      </c>
      <c r="AF3" s="13">
        <f t="shared" si="0"/>
        <v>25</v>
      </c>
    </row>
    <row r="4" spans="1:32" s="17" customFormat="1" ht="13.5" customHeight="1">
      <c r="A4" s="232" t="s">
        <v>207</v>
      </c>
      <c r="B4" s="230" t="s">
        <v>206</v>
      </c>
      <c r="C4" s="230"/>
      <c r="D4" s="230"/>
      <c r="E4" s="230"/>
      <c r="F4" s="230"/>
      <c r="G4" s="287"/>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205</v>
      </c>
      <c r="C5" s="235"/>
      <c r="D5" s="235"/>
      <c r="E5" s="235"/>
      <c r="F5" s="235"/>
      <c r="G5" s="264"/>
      <c r="H5" s="18" t="s">
        <v>80</v>
      </c>
      <c r="I5" s="19" t="s">
        <v>80</v>
      </c>
      <c r="J5" s="19" t="s">
        <v>80</v>
      </c>
      <c r="K5" s="19" t="s">
        <v>80</v>
      </c>
      <c r="L5" s="19" t="s">
        <v>80</v>
      </c>
      <c r="M5" s="19" t="s">
        <v>80</v>
      </c>
      <c r="N5" s="19" t="s">
        <v>80</v>
      </c>
      <c r="O5" s="19" t="s">
        <v>80</v>
      </c>
      <c r="P5" s="19" t="s">
        <v>80</v>
      </c>
      <c r="Q5" s="19" t="s">
        <v>80</v>
      </c>
      <c r="R5" s="19" t="s">
        <v>80</v>
      </c>
      <c r="S5" s="19" t="s">
        <v>80</v>
      </c>
      <c r="T5" s="19" t="s">
        <v>80</v>
      </c>
      <c r="U5" s="19" t="s">
        <v>80</v>
      </c>
      <c r="V5" s="19" t="s">
        <v>80</v>
      </c>
      <c r="W5" s="19" t="s">
        <v>80</v>
      </c>
      <c r="X5" s="19" t="s">
        <v>80</v>
      </c>
      <c r="Y5" s="19" t="s">
        <v>80</v>
      </c>
      <c r="Z5" s="19" t="s">
        <v>80</v>
      </c>
      <c r="AA5" s="19" t="s">
        <v>80</v>
      </c>
      <c r="AB5" s="19" t="s">
        <v>80</v>
      </c>
      <c r="AC5" s="19" t="s">
        <v>80</v>
      </c>
      <c r="AD5" s="19" t="s">
        <v>80</v>
      </c>
      <c r="AE5" s="76"/>
      <c r="AF5" s="122"/>
    </row>
    <row r="6" spans="1:32" s="17" customFormat="1" ht="13.5" customHeight="1">
      <c r="A6" s="233"/>
      <c r="B6" s="77"/>
      <c r="C6" s="268" t="s">
        <v>204</v>
      </c>
      <c r="D6" s="268"/>
      <c r="E6" s="268"/>
      <c r="F6" s="268"/>
      <c r="G6" s="288"/>
      <c r="H6" s="18" t="s">
        <v>80</v>
      </c>
      <c r="I6" s="19"/>
      <c r="J6" s="19"/>
      <c r="K6" s="19"/>
      <c r="L6" s="19"/>
      <c r="M6" s="19"/>
      <c r="N6" s="19"/>
      <c r="O6" s="19"/>
      <c r="P6" s="19"/>
      <c r="Q6" s="19"/>
      <c r="R6" s="19"/>
      <c r="S6" s="19"/>
      <c r="T6" s="19"/>
      <c r="U6" s="19"/>
      <c r="V6" s="19"/>
      <c r="W6" s="19"/>
      <c r="X6" s="19"/>
      <c r="Y6" s="19"/>
      <c r="Z6" s="19"/>
      <c r="AA6" s="19"/>
      <c r="AB6" s="19"/>
      <c r="AC6" s="19"/>
      <c r="AD6" s="19"/>
      <c r="AE6" s="76"/>
      <c r="AF6" s="122"/>
    </row>
    <row r="7" spans="1:32" s="17" customFormat="1" ht="13.5" customHeight="1">
      <c r="A7" s="233"/>
      <c r="B7" s="77"/>
      <c r="C7" s="268" t="s">
        <v>203</v>
      </c>
      <c r="D7" s="268"/>
      <c r="E7" s="268"/>
      <c r="F7" s="268"/>
      <c r="G7" s="288"/>
      <c r="H7" s="18"/>
      <c r="I7" s="19" t="s">
        <v>80</v>
      </c>
      <c r="J7" s="19"/>
      <c r="K7" s="19"/>
      <c r="L7" s="19"/>
      <c r="M7" s="19"/>
      <c r="N7" s="19"/>
      <c r="O7" s="19"/>
      <c r="P7" s="19"/>
      <c r="Q7" s="19"/>
      <c r="R7" s="19"/>
      <c r="S7" s="19"/>
      <c r="T7" s="19"/>
      <c r="U7" s="19"/>
      <c r="V7" s="19"/>
      <c r="W7" s="19"/>
      <c r="X7" s="19"/>
      <c r="Y7" s="19"/>
      <c r="Z7" s="19"/>
      <c r="AA7" s="19"/>
      <c r="AB7" s="19"/>
      <c r="AC7" s="19"/>
      <c r="AD7" s="19"/>
      <c r="AE7" s="76"/>
      <c r="AF7" s="122"/>
    </row>
    <row r="8" spans="1:32" s="17" customFormat="1" ht="13.5" customHeight="1">
      <c r="A8" s="233"/>
      <c r="B8" s="238"/>
      <c r="C8" s="234" t="s">
        <v>202</v>
      </c>
      <c r="D8" s="237"/>
      <c r="E8" s="237"/>
      <c r="F8" s="237"/>
      <c r="G8" s="304"/>
      <c r="H8" s="22"/>
      <c r="I8" s="23"/>
      <c r="J8" s="23" t="s">
        <v>80</v>
      </c>
      <c r="K8" s="23"/>
      <c r="L8" s="23"/>
      <c r="M8" s="23"/>
      <c r="N8" s="23"/>
      <c r="O8" s="23"/>
      <c r="P8" s="23"/>
      <c r="Q8" s="23"/>
      <c r="R8" s="23"/>
      <c r="S8" s="23"/>
      <c r="T8" s="23"/>
      <c r="U8" s="23"/>
      <c r="V8" s="23"/>
      <c r="W8" s="23"/>
      <c r="X8" s="23"/>
      <c r="Y8" s="23"/>
      <c r="Z8" s="23"/>
      <c r="AA8" s="23"/>
      <c r="AB8" s="23"/>
      <c r="AC8" s="23"/>
      <c r="AD8" s="23"/>
      <c r="AE8" s="76"/>
      <c r="AF8" s="122"/>
    </row>
    <row r="9" spans="1:32" s="17" customFormat="1" ht="13.5" customHeight="1">
      <c r="A9" s="233"/>
      <c r="B9" s="238"/>
      <c r="C9" s="268" t="s">
        <v>201</v>
      </c>
      <c r="D9" s="268"/>
      <c r="E9" s="268"/>
      <c r="F9" s="268"/>
      <c r="G9" s="288"/>
      <c r="H9" s="22"/>
      <c r="I9" s="23"/>
      <c r="J9" s="23"/>
      <c r="K9" s="23" t="s">
        <v>80</v>
      </c>
      <c r="L9" s="23"/>
      <c r="M9" s="23"/>
      <c r="N9" s="23"/>
      <c r="O9" s="23"/>
      <c r="P9" s="23"/>
      <c r="Q9" s="23"/>
      <c r="R9" s="23"/>
      <c r="S9" s="23"/>
      <c r="T9" s="23"/>
      <c r="U9" s="23"/>
      <c r="V9" s="23"/>
      <c r="W9" s="23"/>
      <c r="X9" s="23"/>
      <c r="Y9" s="23"/>
      <c r="Z9" s="23"/>
      <c r="AA9" s="23"/>
      <c r="AB9" s="23"/>
      <c r="AC9" s="23"/>
      <c r="AD9" s="23"/>
      <c r="AE9" s="76"/>
      <c r="AF9" s="122"/>
    </row>
    <row r="10" spans="1:32" s="17" customFormat="1" ht="13.5" customHeight="1">
      <c r="A10" s="233"/>
      <c r="B10" s="238"/>
      <c r="C10" s="268" t="s">
        <v>200</v>
      </c>
      <c r="D10" s="268"/>
      <c r="E10" s="268"/>
      <c r="F10" s="268"/>
      <c r="G10" s="288"/>
      <c r="H10" s="22"/>
      <c r="I10" s="23"/>
      <c r="J10" s="23"/>
      <c r="K10" s="23"/>
      <c r="L10" s="23" t="s">
        <v>80</v>
      </c>
      <c r="M10" s="23"/>
      <c r="N10" s="23"/>
      <c r="O10" s="23"/>
      <c r="P10" s="23"/>
      <c r="Q10" s="23"/>
      <c r="R10" s="23"/>
      <c r="S10" s="23"/>
      <c r="T10" s="23"/>
      <c r="U10" s="23"/>
      <c r="V10" s="23"/>
      <c r="W10" s="23"/>
      <c r="X10" s="23"/>
      <c r="Y10" s="23"/>
      <c r="Z10" s="23"/>
      <c r="AA10" s="23"/>
      <c r="AB10" s="23"/>
      <c r="AC10" s="23"/>
      <c r="AD10" s="23"/>
      <c r="AE10" s="76"/>
      <c r="AF10" s="122"/>
    </row>
    <row r="11" spans="1:32" s="17" customFormat="1" ht="13.5" customHeight="1">
      <c r="A11" s="233"/>
      <c r="B11" s="238"/>
      <c r="C11" s="268" t="s">
        <v>199</v>
      </c>
      <c r="D11" s="268"/>
      <c r="E11" s="268"/>
      <c r="F11" s="268"/>
      <c r="G11" s="288"/>
      <c r="H11" s="22"/>
      <c r="I11" s="23"/>
      <c r="J11" s="23"/>
      <c r="K11" s="23"/>
      <c r="L11" s="23"/>
      <c r="M11" s="23" t="s">
        <v>80</v>
      </c>
      <c r="N11" s="23"/>
      <c r="O11" s="23"/>
      <c r="P11" s="23"/>
      <c r="Q11" s="23"/>
      <c r="R11" s="23"/>
      <c r="S11" s="23"/>
      <c r="T11" s="23"/>
      <c r="U11" s="23"/>
      <c r="V11" s="23"/>
      <c r="W11" s="23"/>
      <c r="X11" s="23"/>
      <c r="Y11" s="23"/>
      <c r="Z11" s="23"/>
      <c r="AA11" s="23"/>
      <c r="AB11" s="23"/>
      <c r="AC11" s="23"/>
      <c r="AD11" s="23"/>
      <c r="AE11" s="76"/>
      <c r="AF11" s="122"/>
    </row>
    <row r="12" spans="1:32" s="17" customFormat="1" ht="13.5" customHeight="1">
      <c r="A12" s="233"/>
      <c r="B12" s="238"/>
      <c r="C12" s="268" t="s">
        <v>198</v>
      </c>
      <c r="D12" s="268"/>
      <c r="E12" s="268"/>
      <c r="F12" s="268"/>
      <c r="G12" s="288"/>
      <c r="H12" s="22"/>
      <c r="I12" s="23"/>
      <c r="J12" s="23"/>
      <c r="K12" s="23"/>
      <c r="L12" s="23"/>
      <c r="M12" s="23"/>
      <c r="N12" s="23"/>
      <c r="O12" s="23"/>
      <c r="P12" s="23"/>
      <c r="Q12" s="23"/>
      <c r="R12" s="23"/>
      <c r="S12" s="23"/>
      <c r="T12" s="23"/>
      <c r="U12" s="23"/>
      <c r="V12" s="23"/>
      <c r="W12" s="23"/>
      <c r="X12" s="23"/>
      <c r="Y12" s="23"/>
      <c r="Z12" s="23"/>
      <c r="AA12" s="23"/>
      <c r="AB12" s="23"/>
      <c r="AC12" s="23"/>
      <c r="AD12" s="23"/>
      <c r="AE12" s="76"/>
      <c r="AF12" s="122"/>
    </row>
    <row r="13" spans="1:32" s="17" customFormat="1" ht="13.5" customHeight="1">
      <c r="A13" s="233"/>
      <c r="B13" s="238"/>
      <c r="C13" s="324"/>
      <c r="D13" s="268" t="s">
        <v>197</v>
      </c>
      <c r="E13" s="268"/>
      <c r="F13" s="268"/>
      <c r="G13" s="288"/>
      <c r="H13" s="22"/>
      <c r="I13" s="23"/>
      <c r="J13" s="23"/>
      <c r="K13" s="23"/>
      <c r="L13" s="23"/>
      <c r="M13" s="23"/>
      <c r="N13" s="23" t="s">
        <v>80</v>
      </c>
      <c r="O13" s="23"/>
      <c r="P13" s="23"/>
      <c r="Q13" s="23"/>
      <c r="R13" s="23"/>
      <c r="S13" s="23"/>
      <c r="T13" s="23"/>
      <c r="U13" s="23"/>
      <c r="V13" s="23"/>
      <c r="W13" s="23"/>
      <c r="X13" s="23"/>
      <c r="Y13" s="23"/>
      <c r="Z13" s="23"/>
      <c r="AA13" s="23"/>
      <c r="AB13" s="23"/>
      <c r="AC13" s="23"/>
      <c r="AD13" s="23"/>
      <c r="AE13" s="76"/>
      <c r="AF13" s="122"/>
    </row>
    <row r="14" spans="1:32" s="17" customFormat="1" ht="13.5" customHeight="1">
      <c r="A14" s="233"/>
      <c r="B14" s="238"/>
      <c r="C14" s="324"/>
      <c r="D14" s="268" t="s">
        <v>196</v>
      </c>
      <c r="E14" s="268"/>
      <c r="F14" s="268"/>
      <c r="G14" s="288"/>
      <c r="H14" s="22"/>
      <c r="I14" s="23"/>
      <c r="J14" s="23"/>
      <c r="K14" s="23"/>
      <c r="L14" s="23"/>
      <c r="M14" s="23"/>
      <c r="N14" s="23"/>
      <c r="O14" s="23" t="s">
        <v>80</v>
      </c>
      <c r="P14" s="23"/>
      <c r="Q14" s="23"/>
      <c r="R14" s="23"/>
      <c r="S14" s="23"/>
      <c r="T14" s="23"/>
      <c r="U14" s="23"/>
      <c r="V14" s="23"/>
      <c r="W14" s="23"/>
      <c r="X14" s="23"/>
      <c r="Y14" s="23"/>
      <c r="Z14" s="23"/>
      <c r="AA14" s="23"/>
      <c r="AB14" s="23"/>
      <c r="AC14" s="23"/>
      <c r="AD14" s="23"/>
      <c r="AE14" s="76"/>
      <c r="AF14" s="122"/>
    </row>
    <row r="15" spans="1:32" s="17" customFormat="1" ht="13.5" customHeight="1">
      <c r="A15" s="233"/>
      <c r="B15" s="238"/>
      <c r="C15" s="268" t="s">
        <v>195</v>
      </c>
      <c r="D15" s="268"/>
      <c r="E15" s="268"/>
      <c r="F15" s="268"/>
      <c r="G15" s="288"/>
      <c r="H15" s="22"/>
      <c r="I15" s="23"/>
      <c r="J15" s="23"/>
      <c r="K15" s="23"/>
      <c r="L15" s="23"/>
      <c r="M15" s="23"/>
      <c r="N15" s="23"/>
      <c r="O15" s="23"/>
      <c r="P15" s="23" t="s">
        <v>80</v>
      </c>
      <c r="Q15" s="23"/>
      <c r="R15" s="23"/>
      <c r="S15" s="23"/>
      <c r="T15" s="23"/>
      <c r="U15" s="23"/>
      <c r="V15" s="23"/>
      <c r="W15" s="23"/>
      <c r="X15" s="23"/>
      <c r="Y15" s="23"/>
      <c r="Z15" s="23"/>
      <c r="AA15" s="23"/>
      <c r="AB15" s="23"/>
      <c r="AC15" s="23"/>
      <c r="AD15" s="23"/>
      <c r="AE15" s="76"/>
      <c r="AF15" s="122"/>
    </row>
    <row r="16" spans="1:32" s="17" customFormat="1" ht="13.5" customHeight="1">
      <c r="A16" s="233"/>
      <c r="B16" s="238"/>
      <c r="C16" s="268" t="s">
        <v>194</v>
      </c>
      <c r="D16" s="268"/>
      <c r="E16" s="268"/>
      <c r="F16" s="268"/>
      <c r="G16" s="288"/>
      <c r="H16" s="22"/>
      <c r="I16" s="23"/>
      <c r="J16" s="23"/>
      <c r="K16" s="23"/>
      <c r="L16" s="23"/>
      <c r="M16" s="23"/>
      <c r="N16" s="23"/>
      <c r="O16" s="23"/>
      <c r="P16" s="23"/>
      <c r="Q16" s="23"/>
      <c r="R16" s="23"/>
      <c r="S16" s="23"/>
      <c r="T16" s="23"/>
      <c r="U16" s="23"/>
      <c r="V16" s="23"/>
      <c r="W16" s="23"/>
      <c r="X16" s="23"/>
      <c r="Y16" s="23"/>
      <c r="Z16" s="23"/>
      <c r="AA16" s="23"/>
      <c r="AB16" s="23"/>
      <c r="AC16" s="23"/>
      <c r="AD16" s="23"/>
      <c r="AE16" s="76"/>
      <c r="AF16" s="122"/>
    </row>
    <row r="17" spans="1:32" s="17" customFormat="1" ht="13.5" customHeight="1">
      <c r="A17" s="233"/>
      <c r="B17" s="238"/>
      <c r="C17" s="268"/>
      <c r="D17" s="268" t="s">
        <v>193</v>
      </c>
      <c r="E17" s="268"/>
      <c r="F17" s="268"/>
      <c r="G17" s="288"/>
      <c r="H17" s="22"/>
      <c r="I17" s="23"/>
      <c r="J17" s="23"/>
      <c r="K17" s="23"/>
      <c r="L17" s="23"/>
      <c r="M17" s="23"/>
      <c r="N17" s="23"/>
      <c r="O17" s="23"/>
      <c r="P17" s="23"/>
      <c r="Q17" s="23" t="s">
        <v>80</v>
      </c>
      <c r="R17" s="23"/>
      <c r="S17" s="23"/>
      <c r="T17" s="23"/>
      <c r="U17" s="23"/>
      <c r="V17" s="23"/>
      <c r="W17" s="23"/>
      <c r="X17" s="23"/>
      <c r="Y17" s="23"/>
      <c r="Z17" s="23"/>
      <c r="AA17" s="23"/>
      <c r="AB17" s="23"/>
      <c r="AC17" s="23"/>
      <c r="AD17" s="23"/>
      <c r="AE17" s="76"/>
      <c r="AF17" s="122"/>
    </row>
    <row r="18" spans="1:32" s="17" customFormat="1" ht="13.5" customHeight="1">
      <c r="A18" s="233"/>
      <c r="B18" s="238"/>
      <c r="C18" s="268"/>
      <c r="D18" s="268" t="s">
        <v>192</v>
      </c>
      <c r="E18" s="268"/>
      <c r="F18" s="268"/>
      <c r="G18" s="288"/>
      <c r="H18" s="22"/>
      <c r="I18" s="23"/>
      <c r="J18" s="23"/>
      <c r="K18" s="23"/>
      <c r="L18" s="23"/>
      <c r="M18" s="23"/>
      <c r="N18" s="23"/>
      <c r="O18" s="23"/>
      <c r="P18" s="23"/>
      <c r="Q18" s="23"/>
      <c r="R18" s="23" t="s">
        <v>80</v>
      </c>
      <c r="S18" s="23"/>
      <c r="T18" s="23"/>
      <c r="U18" s="23"/>
      <c r="V18" s="23"/>
      <c r="W18" s="23"/>
      <c r="X18" s="23"/>
      <c r="Y18" s="23"/>
      <c r="Z18" s="23"/>
      <c r="AA18" s="23"/>
      <c r="AB18" s="23"/>
      <c r="AC18" s="23"/>
      <c r="AD18" s="23"/>
      <c r="AE18" s="76"/>
      <c r="AF18" s="122"/>
    </row>
    <row r="19" spans="1:32" s="17" customFormat="1" ht="13.5" customHeight="1">
      <c r="A19" s="233"/>
      <c r="B19" s="238"/>
      <c r="C19" s="268"/>
      <c r="D19" s="268" t="s">
        <v>191</v>
      </c>
      <c r="E19" s="268"/>
      <c r="F19" s="268"/>
      <c r="G19" s="288"/>
      <c r="H19" s="22"/>
      <c r="I19" s="23"/>
      <c r="J19" s="23"/>
      <c r="K19" s="23"/>
      <c r="L19" s="23"/>
      <c r="M19" s="23"/>
      <c r="N19" s="23"/>
      <c r="O19" s="23"/>
      <c r="P19" s="23"/>
      <c r="Q19" s="23"/>
      <c r="R19" s="23"/>
      <c r="S19" s="23" t="s">
        <v>80</v>
      </c>
      <c r="T19" s="23"/>
      <c r="U19" s="23"/>
      <c r="V19" s="23"/>
      <c r="W19" s="23"/>
      <c r="X19" s="23"/>
      <c r="Y19" s="23"/>
      <c r="Z19" s="23"/>
      <c r="AA19" s="23"/>
      <c r="AB19" s="23"/>
      <c r="AC19" s="23"/>
      <c r="AD19" s="23"/>
      <c r="AE19" s="76"/>
      <c r="AF19" s="122"/>
    </row>
    <row r="20" spans="1:32" s="17" customFormat="1" ht="13.5" customHeight="1">
      <c r="A20" s="233"/>
      <c r="B20" s="238"/>
      <c r="C20" s="268" t="s">
        <v>190</v>
      </c>
      <c r="D20" s="268"/>
      <c r="E20" s="268"/>
      <c r="F20" s="268"/>
      <c r="G20" s="288"/>
      <c r="H20" s="22"/>
      <c r="I20" s="23"/>
      <c r="J20" s="23"/>
      <c r="K20" s="23"/>
      <c r="L20" s="23"/>
      <c r="M20" s="23"/>
      <c r="N20" s="23"/>
      <c r="O20" s="23"/>
      <c r="P20" s="23"/>
      <c r="Q20" s="23"/>
      <c r="R20" s="23"/>
      <c r="S20" s="23"/>
      <c r="T20" s="23" t="s">
        <v>80</v>
      </c>
      <c r="U20" s="23"/>
      <c r="V20" s="23"/>
      <c r="W20" s="23"/>
      <c r="X20" s="23"/>
      <c r="Y20" s="23"/>
      <c r="Z20" s="23"/>
      <c r="AA20" s="23"/>
      <c r="AB20" s="23"/>
      <c r="AC20" s="23"/>
      <c r="AD20" s="23"/>
      <c r="AE20" s="76"/>
      <c r="AF20" s="122"/>
    </row>
    <row r="21" spans="1:32" s="17" customFormat="1" ht="13.5" customHeight="1">
      <c r="A21" s="233"/>
      <c r="B21" s="238"/>
      <c r="C21" s="268" t="s">
        <v>189</v>
      </c>
      <c r="D21" s="268"/>
      <c r="E21" s="268"/>
      <c r="F21" s="268"/>
      <c r="G21" s="288"/>
      <c r="H21" s="22"/>
      <c r="I21" s="23"/>
      <c r="J21" s="23"/>
      <c r="K21" s="23"/>
      <c r="L21" s="23"/>
      <c r="M21" s="23"/>
      <c r="N21" s="23"/>
      <c r="O21" s="23"/>
      <c r="P21" s="23"/>
      <c r="Q21" s="23"/>
      <c r="R21" s="23"/>
      <c r="S21" s="23"/>
      <c r="T21" s="23"/>
      <c r="U21" s="23"/>
      <c r="V21" s="23"/>
      <c r="W21" s="23"/>
      <c r="X21" s="23"/>
      <c r="Y21" s="23"/>
      <c r="Z21" s="23"/>
      <c r="AA21" s="23"/>
      <c r="AB21" s="23"/>
      <c r="AC21" s="23"/>
      <c r="AD21" s="23"/>
      <c r="AE21" s="76"/>
      <c r="AF21" s="122"/>
    </row>
    <row r="22" spans="1:32" s="17" customFormat="1" ht="13.5" customHeight="1">
      <c r="A22" s="233"/>
      <c r="B22" s="238"/>
      <c r="C22" s="324"/>
      <c r="D22" s="345" t="s">
        <v>188</v>
      </c>
      <c r="E22" s="268"/>
      <c r="F22" s="268"/>
      <c r="G22" s="288"/>
      <c r="H22" s="22"/>
      <c r="I22" s="23"/>
      <c r="J22" s="23"/>
      <c r="K22" s="23"/>
      <c r="L22" s="23"/>
      <c r="M22" s="23"/>
      <c r="N22" s="23"/>
      <c r="O22" s="23"/>
      <c r="P22" s="23"/>
      <c r="Q22" s="23"/>
      <c r="R22" s="23"/>
      <c r="S22" s="23"/>
      <c r="T22" s="23"/>
      <c r="U22" s="23" t="s">
        <v>80</v>
      </c>
      <c r="V22" s="23"/>
      <c r="W22" s="23"/>
      <c r="X22" s="23"/>
      <c r="Y22" s="23"/>
      <c r="Z22" s="23"/>
      <c r="AA22" s="23"/>
      <c r="AB22" s="23"/>
      <c r="AC22" s="23"/>
      <c r="AD22" s="23"/>
      <c r="AE22" s="76"/>
      <c r="AF22" s="122"/>
    </row>
    <row r="23" spans="1:32" s="17" customFormat="1" ht="13.5" customHeight="1">
      <c r="A23" s="233"/>
      <c r="B23" s="238"/>
      <c r="C23" s="324"/>
      <c r="D23" s="345" t="s">
        <v>187</v>
      </c>
      <c r="E23" s="268"/>
      <c r="F23" s="268"/>
      <c r="G23" s="288"/>
      <c r="H23" s="22"/>
      <c r="I23" s="23"/>
      <c r="J23" s="23"/>
      <c r="K23" s="23"/>
      <c r="L23" s="23"/>
      <c r="M23" s="23"/>
      <c r="N23" s="23"/>
      <c r="O23" s="23"/>
      <c r="P23" s="23"/>
      <c r="Q23" s="23"/>
      <c r="R23" s="23"/>
      <c r="S23" s="23"/>
      <c r="T23" s="23"/>
      <c r="U23" s="23"/>
      <c r="V23" s="23" t="s">
        <v>80</v>
      </c>
      <c r="W23" s="23"/>
      <c r="X23" s="23"/>
      <c r="Y23" s="23"/>
      <c r="Z23" s="23"/>
      <c r="AA23" s="23"/>
      <c r="AB23" s="23"/>
      <c r="AC23" s="23"/>
      <c r="AD23" s="23"/>
      <c r="AE23" s="76"/>
      <c r="AF23" s="122"/>
    </row>
    <row r="24" spans="1:32" s="17" customFormat="1" ht="13.5" customHeight="1">
      <c r="A24" s="233"/>
      <c r="B24" s="238"/>
      <c r="C24" s="324"/>
      <c r="D24" s="345" t="s">
        <v>186</v>
      </c>
      <c r="E24" s="268"/>
      <c r="F24" s="268"/>
      <c r="G24" s="288"/>
      <c r="H24" s="22"/>
      <c r="I24" s="23"/>
      <c r="J24" s="23"/>
      <c r="K24" s="23"/>
      <c r="L24" s="23"/>
      <c r="M24" s="23"/>
      <c r="N24" s="23"/>
      <c r="O24" s="23"/>
      <c r="P24" s="23"/>
      <c r="Q24" s="23"/>
      <c r="R24" s="23"/>
      <c r="S24" s="23"/>
      <c r="T24" s="23"/>
      <c r="U24" s="23"/>
      <c r="V24" s="23"/>
      <c r="W24" s="23" t="s">
        <v>80</v>
      </c>
      <c r="X24" s="23"/>
      <c r="Y24" s="23"/>
      <c r="Z24" s="23"/>
      <c r="AA24" s="23"/>
      <c r="AB24" s="23"/>
      <c r="AC24" s="23"/>
      <c r="AD24" s="23"/>
      <c r="AE24" s="76"/>
      <c r="AF24" s="122"/>
    </row>
    <row r="25" spans="1:32" s="17" customFormat="1" ht="13.5" customHeight="1">
      <c r="A25" s="233"/>
      <c r="B25" s="238"/>
      <c r="C25" s="324"/>
      <c r="D25" s="345" t="s">
        <v>185</v>
      </c>
      <c r="E25" s="268"/>
      <c r="F25" s="268"/>
      <c r="G25" s="288"/>
      <c r="H25" s="22"/>
      <c r="I25" s="23"/>
      <c r="J25" s="23"/>
      <c r="K25" s="23"/>
      <c r="L25" s="23"/>
      <c r="M25" s="23"/>
      <c r="N25" s="23"/>
      <c r="O25" s="23"/>
      <c r="P25" s="23"/>
      <c r="Q25" s="23"/>
      <c r="R25" s="23"/>
      <c r="S25" s="23"/>
      <c r="T25" s="23"/>
      <c r="U25" s="23"/>
      <c r="V25" s="23"/>
      <c r="W25" s="23"/>
      <c r="X25" s="23" t="s">
        <v>80</v>
      </c>
      <c r="Y25" s="23"/>
      <c r="Z25" s="23"/>
      <c r="AA25" s="23"/>
      <c r="AB25" s="23"/>
      <c r="AC25" s="23"/>
      <c r="AD25" s="23"/>
      <c r="AE25" s="76"/>
      <c r="AF25" s="122"/>
    </row>
    <row r="26" spans="1:32" s="17" customFormat="1" ht="13.5" customHeight="1">
      <c r="A26" s="233"/>
      <c r="B26" s="238"/>
      <c r="C26" s="324"/>
      <c r="D26" s="237" t="s">
        <v>184</v>
      </c>
      <c r="E26" s="237"/>
      <c r="F26" s="237"/>
      <c r="G26" s="304"/>
      <c r="H26" s="22"/>
      <c r="I26" s="23"/>
      <c r="J26" s="23"/>
      <c r="K26" s="23"/>
      <c r="L26" s="23"/>
      <c r="M26" s="23"/>
      <c r="N26" s="23"/>
      <c r="O26" s="23"/>
      <c r="P26" s="23"/>
      <c r="Q26" s="23"/>
      <c r="R26" s="23"/>
      <c r="S26" s="23"/>
      <c r="T26" s="23"/>
      <c r="U26" s="23"/>
      <c r="V26" s="23"/>
      <c r="W26" s="23"/>
      <c r="X26" s="23"/>
      <c r="Y26" s="23" t="s">
        <v>80</v>
      </c>
      <c r="Z26" s="23"/>
      <c r="AA26" s="23"/>
      <c r="AB26" s="23"/>
      <c r="AC26" s="23"/>
      <c r="AD26" s="23"/>
      <c r="AE26" s="76"/>
      <c r="AF26" s="122"/>
    </row>
    <row r="27" spans="1:32" s="17" customFormat="1" ht="13.5" customHeight="1">
      <c r="A27" s="233"/>
      <c r="B27" s="238"/>
      <c r="C27" s="234" t="s">
        <v>220</v>
      </c>
      <c r="D27" s="237"/>
      <c r="E27" s="237"/>
      <c r="F27" s="237"/>
      <c r="G27" s="304"/>
      <c r="H27" s="22"/>
      <c r="I27" s="23"/>
      <c r="J27" s="23"/>
      <c r="K27" s="23"/>
      <c r="L27" s="23"/>
      <c r="M27" s="23"/>
      <c r="N27" s="23"/>
      <c r="O27" s="23"/>
      <c r="P27" s="23"/>
      <c r="Q27" s="23"/>
      <c r="R27" s="23"/>
      <c r="S27" s="23"/>
      <c r="T27" s="23"/>
      <c r="U27" s="23"/>
      <c r="V27" s="23"/>
      <c r="W27" s="23"/>
      <c r="X27" s="23"/>
      <c r="Y27" s="23"/>
      <c r="Z27" s="23" t="s">
        <v>80</v>
      </c>
      <c r="AA27" s="23"/>
      <c r="AB27" s="23"/>
      <c r="AC27" s="23"/>
      <c r="AD27" s="23"/>
      <c r="AE27" s="76"/>
      <c r="AF27" s="122"/>
    </row>
    <row r="28" spans="1:32" s="17" customFormat="1" ht="13.5" customHeight="1">
      <c r="A28" s="233"/>
      <c r="B28" s="238"/>
      <c r="C28" s="234" t="s">
        <v>221</v>
      </c>
      <c r="D28" s="237"/>
      <c r="E28" s="237"/>
      <c r="F28" s="237"/>
      <c r="G28" s="304"/>
      <c r="H28" s="22"/>
      <c r="I28" s="23"/>
      <c r="J28" s="23"/>
      <c r="K28" s="23"/>
      <c r="L28" s="23"/>
      <c r="M28" s="23"/>
      <c r="N28" s="23"/>
      <c r="O28" s="23"/>
      <c r="P28" s="23"/>
      <c r="Q28" s="23"/>
      <c r="R28" s="23"/>
      <c r="S28" s="23"/>
      <c r="T28" s="23"/>
      <c r="U28" s="23"/>
      <c r="V28" s="23"/>
      <c r="W28" s="23"/>
      <c r="X28" s="23"/>
      <c r="Y28" s="23"/>
      <c r="Z28" s="23"/>
      <c r="AA28" s="23" t="s">
        <v>80</v>
      </c>
      <c r="AB28" s="23"/>
      <c r="AC28" s="23"/>
      <c r="AD28" s="23"/>
      <c r="AE28" s="76"/>
      <c r="AF28" s="122"/>
    </row>
    <row r="29" spans="1:32" s="17" customFormat="1" ht="13.5" customHeight="1">
      <c r="A29" s="233"/>
      <c r="B29" s="238"/>
      <c r="C29" s="234" t="s">
        <v>222</v>
      </c>
      <c r="D29" s="237"/>
      <c r="E29" s="237"/>
      <c r="F29" s="237"/>
      <c r="G29" s="304"/>
      <c r="H29" s="22"/>
      <c r="I29" s="23"/>
      <c r="J29" s="23"/>
      <c r="K29" s="23"/>
      <c r="L29" s="23"/>
      <c r="M29" s="23"/>
      <c r="N29" s="23"/>
      <c r="O29" s="23"/>
      <c r="P29" s="23"/>
      <c r="Q29" s="23"/>
      <c r="R29" s="23"/>
      <c r="S29" s="23"/>
      <c r="T29" s="23"/>
      <c r="U29" s="23"/>
      <c r="V29" s="23"/>
      <c r="W29" s="23"/>
      <c r="X29" s="23"/>
      <c r="Y29" s="23"/>
      <c r="Z29" s="23"/>
      <c r="AA29" s="23"/>
      <c r="AB29" s="23" t="s">
        <v>80</v>
      </c>
      <c r="AC29" s="23"/>
      <c r="AD29" s="23"/>
      <c r="AE29" s="76"/>
      <c r="AF29" s="122"/>
    </row>
    <row r="30" spans="1:32" s="17" customFormat="1" ht="13.5" customHeight="1">
      <c r="A30" s="233"/>
      <c r="B30" s="238"/>
      <c r="C30" s="234" t="s">
        <v>223</v>
      </c>
      <c r="D30" s="237"/>
      <c r="E30" s="237"/>
      <c r="F30" s="237"/>
      <c r="G30" s="304"/>
      <c r="H30" s="22"/>
      <c r="I30" s="23"/>
      <c r="J30" s="23"/>
      <c r="K30" s="23"/>
      <c r="L30" s="23"/>
      <c r="M30" s="23"/>
      <c r="N30" s="23"/>
      <c r="O30" s="23"/>
      <c r="P30" s="23"/>
      <c r="Q30" s="23"/>
      <c r="R30" s="23"/>
      <c r="S30" s="23"/>
      <c r="T30" s="23"/>
      <c r="U30" s="23"/>
      <c r="V30" s="23"/>
      <c r="W30" s="23"/>
      <c r="X30" s="23"/>
      <c r="Y30" s="23"/>
      <c r="Z30" s="23"/>
      <c r="AA30" s="23"/>
      <c r="AB30" s="23"/>
      <c r="AC30" s="23" t="s">
        <v>80</v>
      </c>
      <c r="AD30" s="23"/>
      <c r="AE30" s="76"/>
      <c r="AF30" s="122"/>
    </row>
    <row r="31" spans="1:32" s="17" customFormat="1" ht="13.5" customHeight="1">
      <c r="A31" s="233"/>
      <c r="B31" s="238"/>
      <c r="C31" s="234" t="s">
        <v>160</v>
      </c>
      <c r="D31" s="237"/>
      <c r="E31" s="237"/>
      <c r="F31" s="237"/>
      <c r="G31" s="304"/>
      <c r="H31" s="22"/>
      <c r="I31" s="23"/>
      <c r="J31" s="23"/>
      <c r="K31" s="23"/>
      <c r="L31" s="23"/>
      <c r="M31" s="23"/>
      <c r="N31" s="23"/>
      <c r="O31" s="23"/>
      <c r="P31" s="23"/>
      <c r="Q31" s="23"/>
      <c r="R31" s="23"/>
      <c r="S31" s="23"/>
      <c r="T31" s="23"/>
      <c r="U31" s="23"/>
      <c r="V31" s="23"/>
      <c r="W31" s="23"/>
      <c r="X31" s="23"/>
      <c r="Y31" s="23"/>
      <c r="Z31" s="23"/>
      <c r="AA31" s="23"/>
      <c r="AB31" s="23"/>
      <c r="AC31" s="23"/>
      <c r="AD31" s="23" t="s">
        <v>80</v>
      </c>
      <c r="AE31" s="76"/>
      <c r="AF31" s="122"/>
    </row>
    <row r="32" spans="1:32" s="17" customFormat="1" ht="13.5" customHeight="1">
      <c r="A32" s="233"/>
      <c r="B32" s="238"/>
      <c r="C32" s="234" t="s">
        <v>157</v>
      </c>
      <c r="D32" s="237"/>
      <c r="E32" s="237"/>
      <c r="F32" s="237"/>
      <c r="G32" s="304"/>
      <c r="H32" s="22"/>
      <c r="I32" s="23"/>
      <c r="J32" s="23"/>
      <c r="K32" s="23"/>
      <c r="L32" s="23"/>
      <c r="M32" s="23"/>
      <c r="N32" s="23"/>
      <c r="O32" s="23"/>
      <c r="P32" s="23"/>
      <c r="Q32" s="23"/>
      <c r="R32" s="23"/>
      <c r="S32" s="23"/>
      <c r="T32" s="23"/>
      <c r="U32" s="23"/>
      <c r="V32" s="23"/>
      <c r="W32" s="23"/>
      <c r="X32" s="23"/>
      <c r="Y32" s="23"/>
      <c r="Z32" s="23"/>
      <c r="AA32" s="23"/>
      <c r="AB32" s="23"/>
      <c r="AC32" s="23"/>
      <c r="AD32" s="23"/>
      <c r="AE32" s="76" t="s">
        <v>80</v>
      </c>
      <c r="AF32" s="122"/>
    </row>
    <row r="33" spans="1:32" s="17" customFormat="1" ht="13.5" customHeight="1">
      <c r="A33" s="233"/>
      <c r="B33" s="238"/>
      <c r="C33" s="268" t="s">
        <v>183</v>
      </c>
      <c r="D33" s="268"/>
      <c r="E33" s="268"/>
      <c r="F33" s="268"/>
      <c r="G33" s="288"/>
      <c r="H33" s="22"/>
      <c r="I33" s="23"/>
      <c r="J33" s="23"/>
      <c r="K33" s="23"/>
      <c r="L33" s="23"/>
      <c r="M33" s="23"/>
      <c r="N33" s="23"/>
      <c r="O33" s="23"/>
      <c r="P33" s="23"/>
      <c r="Q33" s="23"/>
      <c r="R33" s="23"/>
      <c r="S33" s="23"/>
      <c r="T33" s="23"/>
      <c r="U33" s="23"/>
      <c r="V33" s="23"/>
      <c r="W33" s="23"/>
      <c r="X33" s="23"/>
      <c r="Y33" s="23"/>
      <c r="Z33" s="23"/>
      <c r="AA33" s="23"/>
      <c r="AB33" s="23"/>
      <c r="AC33" s="23"/>
      <c r="AD33" s="23"/>
      <c r="AE33" s="76"/>
      <c r="AF33" s="122"/>
    </row>
    <row r="34" spans="1:32" s="17" customFormat="1" ht="13.5" customHeight="1">
      <c r="A34" s="233"/>
      <c r="B34" s="238"/>
      <c r="C34" s="324"/>
      <c r="D34" s="268" t="s">
        <v>182</v>
      </c>
      <c r="E34" s="268"/>
      <c r="F34" s="268"/>
      <c r="G34" s="288"/>
      <c r="H34" s="22"/>
      <c r="I34" s="23"/>
      <c r="J34" s="23"/>
      <c r="K34" s="23"/>
      <c r="L34" s="23"/>
      <c r="M34" s="23"/>
      <c r="N34" s="23"/>
      <c r="O34" s="23"/>
      <c r="P34" s="23"/>
      <c r="Q34" s="23"/>
      <c r="R34" s="23"/>
      <c r="S34" s="23"/>
      <c r="T34" s="23"/>
      <c r="U34" s="23"/>
      <c r="V34" s="23"/>
      <c r="W34" s="23"/>
      <c r="X34" s="23"/>
      <c r="Y34" s="23"/>
      <c r="Z34" s="23"/>
      <c r="AA34" s="23"/>
      <c r="AB34" s="23"/>
      <c r="AC34" s="23"/>
      <c r="AD34" s="23"/>
      <c r="AE34" s="76"/>
      <c r="AF34" s="122" t="s">
        <v>80</v>
      </c>
    </row>
    <row r="35" spans="1:32" s="17" customFormat="1" ht="13.5" customHeight="1">
      <c r="A35" s="233"/>
      <c r="B35" s="238"/>
      <c r="C35" s="324"/>
      <c r="D35" s="268" t="s">
        <v>122</v>
      </c>
      <c r="E35" s="268"/>
      <c r="F35" s="268"/>
      <c r="G35" s="288"/>
      <c r="H35" s="22"/>
      <c r="I35" s="23"/>
      <c r="J35" s="23"/>
      <c r="K35" s="23"/>
      <c r="L35" s="23"/>
      <c r="M35" s="23"/>
      <c r="N35" s="23"/>
      <c r="O35" s="23"/>
      <c r="P35" s="23"/>
      <c r="Q35" s="23"/>
      <c r="R35" s="23"/>
      <c r="S35" s="23"/>
      <c r="T35" s="23"/>
      <c r="U35" s="23"/>
      <c r="V35" s="23"/>
      <c r="W35" s="23"/>
      <c r="X35" s="23"/>
      <c r="Y35" s="23"/>
      <c r="Z35" s="23"/>
      <c r="AA35" s="23"/>
      <c r="AB35" s="23"/>
      <c r="AC35" s="23"/>
      <c r="AD35" s="23"/>
      <c r="AE35" s="76"/>
      <c r="AF35" s="122"/>
    </row>
    <row r="36" spans="1:32" s="17" customFormat="1" ht="13.5" customHeight="1" thickBot="1">
      <c r="A36" s="233"/>
      <c r="B36" s="333" t="s">
        <v>65</v>
      </c>
      <c r="C36" s="334"/>
      <c r="D36" s="334"/>
      <c r="E36" s="334"/>
      <c r="F36" s="334"/>
      <c r="G36" s="335"/>
      <c r="H36" s="22"/>
      <c r="I36" s="23"/>
      <c r="J36" s="23"/>
      <c r="K36" s="23"/>
      <c r="L36" s="23"/>
      <c r="M36" s="23"/>
      <c r="N36" s="23"/>
      <c r="O36" s="23"/>
      <c r="P36" s="23"/>
      <c r="Q36" s="23"/>
      <c r="R36" s="23"/>
      <c r="S36" s="23"/>
      <c r="T36" s="23"/>
      <c r="U36" s="23"/>
      <c r="V36" s="23"/>
      <c r="W36" s="23"/>
      <c r="X36" s="23"/>
      <c r="Y36" s="23"/>
      <c r="Z36" s="23"/>
      <c r="AA36" s="23"/>
      <c r="AB36" s="23"/>
      <c r="AC36" s="23"/>
      <c r="AD36" s="23"/>
      <c r="AE36" s="23"/>
      <c r="AF36" s="24"/>
    </row>
    <row r="37" spans="1:32" s="17" customFormat="1" ht="13.5" customHeight="1">
      <c r="A37" s="226" t="s">
        <v>181</v>
      </c>
      <c r="B37" s="229" t="s">
        <v>180</v>
      </c>
      <c r="C37" s="230"/>
      <c r="D37" s="230"/>
      <c r="E37" s="230"/>
      <c r="F37" s="230"/>
      <c r="G37" s="230"/>
      <c r="H37" s="25"/>
      <c r="I37" s="26"/>
      <c r="J37" s="26"/>
      <c r="K37" s="26"/>
      <c r="L37" s="26"/>
      <c r="M37" s="26"/>
      <c r="N37" s="26"/>
      <c r="O37" s="26"/>
      <c r="P37" s="26"/>
      <c r="Q37" s="26"/>
      <c r="R37" s="26"/>
      <c r="S37" s="26"/>
      <c r="T37" s="26"/>
      <c r="U37" s="26"/>
      <c r="V37" s="26"/>
      <c r="W37" s="26"/>
      <c r="X37" s="26"/>
      <c r="Y37" s="26"/>
      <c r="Z37" s="26"/>
      <c r="AA37" s="26"/>
      <c r="AB37" s="26"/>
      <c r="AC37" s="26"/>
      <c r="AD37" s="26"/>
      <c r="AE37" s="26"/>
      <c r="AF37" s="27"/>
    </row>
    <row r="38" spans="1:32" s="17" customFormat="1" ht="13.5" customHeight="1">
      <c r="A38" s="227"/>
      <c r="B38" s="324"/>
      <c r="C38" s="216" t="s">
        <v>179</v>
      </c>
      <c r="D38" s="217"/>
      <c r="E38" s="217"/>
      <c r="F38" s="217"/>
      <c r="G38" s="217"/>
      <c r="H38" s="22"/>
      <c r="I38" s="23"/>
      <c r="J38" s="23"/>
      <c r="K38" s="23"/>
      <c r="L38" s="23"/>
      <c r="M38" s="23"/>
      <c r="N38" s="23"/>
      <c r="O38" s="23"/>
      <c r="P38" s="23"/>
      <c r="Q38" s="23"/>
      <c r="R38" s="23"/>
      <c r="S38" s="23"/>
      <c r="T38" s="23"/>
      <c r="U38" s="23"/>
      <c r="V38" s="23"/>
      <c r="W38" s="23"/>
      <c r="X38" s="23"/>
      <c r="Y38" s="23"/>
      <c r="Z38" s="23"/>
      <c r="AA38" s="23"/>
      <c r="AB38" s="23"/>
      <c r="AC38" s="23"/>
      <c r="AD38" s="23"/>
      <c r="AE38" s="87"/>
      <c r="AF38" s="121"/>
    </row>
    <row r="39" spans="1:32" s="17" customFormat="1" ht="13.5" customHeight="1">
      <c r="A39" s="227"/>
      <c r="B39" s="324"/>
      <c r="C39" s="284"/>
      <c r="D39" s="217" t="s">
        <v>68</v>
      </c>
      <c r="E39" s="217"/>
      <c r="F39" s="217"/>
      <c r="G39" s="273"/>
      <c r="H39" s="22" t="s">
        <v>80</v>
      </c>
      <c r="I39" s="23" t="s">
        <v>80</v>
      </c>
      <c r="J39" s="23" t="s">
        <v>80</v>
      </c>
      <c r="K39" s="23" t="s">
        <v>80</v>
      </c>
      <c r="L39" s="23" t="s">
        <v>80</v>
      </c>
      <c r="M39" s="23" t="s">
        <v>80</v>
      </c>
      <c r="N39" s="23" t="s">
        <v>80</v>
      </c>
      <c r="O39" s="23" t="s">
        <v>80</v>
      </c>
      <c r="P39" s="23" t="s">
        <v>80</v>
      </c>
      <c r="Q39" s="23" t="s">
        <v>80</v>
      </c>
      <c r="R39" s="23" t="s">
        <v>80</v>
      </c>
      <c r="S39" s="23" t="s">
        <v>80</v>
      </c>
      <c r="T39" s="23" t="s">
        <v>80</v>
      </c>
      <c r="U39" s="23" t="s">
        <v>80</v>
      </c>
      <c r="V39" s="23" t="s">
        <v>80</v>
      </c>
      <c r="W39" s="23" t="s">
        <v>80</v>
      </c>
      <c r="X39" s="23" t="s">
        <v>80</v>
      </c>
      <c r="Y39" s="23" t="s">
        <v>80</v>
      </c>
      <c r="Z39" s="23"/>
      <c r="AA39" s="23"/>
      <c r="AB39" s="23"/>
      <c r="AC39" s="23"/>
      <c r="AD39" s="23"/>
      <c r="AE39" s="87"/>
      <c r="AF39" s="121"/>
    </row>
    <row r="40" spans="1:32" s="17" customFormat="1" ht="13.5" customHeight="1">
      <c r="A40" s="227"/>
      <c r="B40" s="324"/>
      <c r="C40" s="285"/>
      <c r="D40" s="217" t="s">
        <v>178</v>
      </c>
      <c r="E40" s="217"/>
      <c r="F40" s="217"/>
      <c r="G40" s="273"/>
      <c r="H40" s="22" t="s">
        <v>80</v>
      </c>
      <c r="I40" s="23" t="s">
        <v>80</v>
      </c>
      <c r="J40" s="23"/>
      <c r="K40" s="23" t="s">
        <v>80</v>
      </c>
      <c r="L40" s="23" t="s">
        <v>80</v>
      </c>
      <c r="M40" s="23" t="s">
        <v>80</v>
      </c>
      <c r="N40" s="23"/>
      <c r="O40" s="23"/>
      <c r="P40" s="23" t="s">
        <v>80</v>
      </c>
      <c r="Q40" s="23"/>
      <c r="R40" s="23"/>
      <c r="S40" s="23"/>
      <c r="T40" s="23" t="s">
        <v>80</v>
      </c>
      <c r="U40" s="23"/>
      <c r="V40" s="23"/>
      <c r="W40" s="23"/>
      <c r="X40" s="23"/>
      <c r="Y40" s="23" t="s">
        <v>80</v>
      </c>
      <c r="Z40" s="23"/>
      <c r="AA40" s="23"/>
      <c r="AB40" s="23"/>
      <c r="AC40" s="23"/>
      <c r="AD40" s="23"/>
      <c r="AE40" s="87"/>
      <c r="AF40" s="121"/>
    </row>
    <row r="41" spans="1:32" s="17" customFormat="1" ht="13.5" customHeight="1">
      <c r="A41" s="227"/>
      <c r="B41" s="324"/>
      <c r="C41" s="285"/>
      <c r="D41" s="217" t="s">
        <v>177</v>
      </c>
      <c r="E41" s="217"/>
      <c r="F41" s="217"/>
      <c r="G41" s="273"/>
      <c r="H41" s="22"/>
      <c r="I41" s="23"/>
      <c r="J41" s="23" t="s">
        <v>80</v>
      </c>
      <c r="K41" s="23"/>
      <c r="L41" s="23"/>
      <c r="M41" s="23"/>
      <c r="N41" s="23"/>
      <c r="O41" s="23"/>
      <c r="P41" s="23"/>
      <c r="Q41" s="23" t="s">
        <v>80</v>
      </c>
      <c r="R41" s="23" t="s">
        <v>80</v>
      </c>
      <c r="S41" s="23" t="s">
        <v>80</v>
      </c>
      <c r="T41" s="23"/>
      <c r="U41" s="23"/>
      <c r="V41" s="23"/>
      <c r="W41" s="23"/>
      <c r="X41" s="23"/>
      <c r="Y41" s="23"/>
      <c r="Z41" s="23"/>
      <c r="AA41" s="23"/>
      <c r="AB41" s="23"/>
      <c r="AC41" s="23"/>
      <c r="AD41" s="23"/>
      <c r="AE41" s="87"/>
      <c r="AF41" s="121"/>
    </row>
    <row r="42" spans="1:32" s="17" customFormat="1" ht="13.5" customHeight="1">
      <c r="A42" s="227"/>
      <c r="B42" s="324"/>
      <c r="C42" s="285"/>
      <c r="D42" s="216" t="s">
        <v>176</v>
      </c>
      <c r="E42" s="217"/>
      <c r="F42" s="217"/>
      <c r="G42" s="273"/>
      <c r="H42" s="22"/>
      <c r="I42" s="23"/>
      <c r="J42" s="23"/>
      <c r="K42" s="23"/>
      <c r="L42" s="23"/>
      <c r="M42" s="23"/>
      <c r="N42" s="23" t="s">
        <v>80</v>
      </c>
      <c r="O42" s="23" t="s">
        <v>80</v>
      </c>
      <c r="P42" s="23"/>
      <c r="Q42" s="23"/>
      <c r="R42" s="23"/>
      <c r="S42" s="23"/>
      <c r="T42" s="23"/>
      <c r="U42" s="23" t="s">
        <v>80</v>
      </c>
      <c r="V42" s="23" t="s">
        <v>80</v>
      </c>
      <c r="W42" s="23" t="s">
        <v>80</v>
      </c>
      <c r="X42" s="23" t="s">
        <v>80</v>
      </c>
      <c r="Y42" s="23"/>
      <c r="Z42" s="23"/>
      <c r="AA42" s="23"/>
      <c r="AB42" s="23"/>
      <c r="AC42" s="23"/>
      <c r="AD42" s="23"/>
      <c r="AE42" s="87"/>
      <c r="AF42" s="121"/>
    </row>
    <row r="43" spans="1:32" s="17" customFormat="1" ht="13.5" customHeight="1">
      <c r="A43" s="227"/>
      <c r="B43" s="324"/>
      <c r="C43" s="285"/>
      <c r="D43" s="217" t="s">
        <v>70</v>
      </c>
      <c r="E43" s="217"/>
      <c r="F43" s="217"/>
      <c r="G43" s="273"/>
      <c r="H43" s="22"/>
      <c r="I43" s="23"/>
      <c r="J43" s="23"/>
      <c r="K43" s="23"/>
      <c r="L43" s="23"/>
      <c r="M43" s="23"/>
      <c r="N43" s="23"/>
      <c r="O43" s="23"/>
      <c r="P43" s="23"/>
      <c r="Q43" s="23"/>
      <c r="R43" s="23"/>
      <c r="S43" s="23"/>
      <c r="T43" s="23"/>
      <c r="U43" s="23"/>
      <c r="V43" s="23"/>
      <c r="W43" s="23"/>
      <c r="X43" s="23"/>
      <c r="Y43" s="23"/>
      <c r="Z43" s="23"/>
      <c r="AA43" s="23"/>
      <c r="AB43" s="23"/>
      <c r="AC43" s="23"/>
      <c r="AD43" s="23"/>
      <c r="AE43" s="87"/>
      <c r="AF43" s="121" t="s">
        <v>80</v>
      </c>
    </row>
    <row r="44" spans="1:32" s="17" customFormat="1" ht="13.5" customHeight="1">
      <c r="A44" s="227"/>
      <c r="B44" s="324"/>
      <c r="C44" s="286"/>
      <c r="D44" s="217" t="s">
        <v>224</v>
      </c>
      <c r="E44" s="217"/>
      <c r="F44" s="217"/>
      <c r="G44" s="273"/>
      <c r="H44" s="22"/>
      <c r="I44" s="23"/>
      <c r="J44" s="23"/>
      <c r="K44" s="23"/>
      <c r="L44" s="23"/>
      <c r="M44" s="23"/>
      <c r="N44" s="23"/>
      <c r="O44" s="23"/>
      <c r="P44" s="23"/>
      <c r="Q44" s="23"/>
      <c r="R44" s="23"/>
      <c r="S44" s="23"/>
      <c r="T44" s="23"/>
      <c r="U44" s="23"/>
      <c r="V44" s="23"/>
      <c r="W44" s="23"/>
      <c r="X44" s="23"/>
      <c r="Y44" s="23"/>
      <c r="Z44" s="23" t="s">
        <v>80</v>
      </c>
      <c r="AA44" s="23" t="s">
        <v>80</v>
      </c>
      <c r="AB44" s="23" t="s">
        <v>80</v>
      </c>
      <c r="AC44" s="23" t="s">
        <v>80</v>
      </c>
      <c r="AD44" s="23"/>
      <c r="AE44" s="87"/>
      <c r="AF44" s="121"/>
    </row>
    <row r="45" spans="1:32" s="17" customFormat="1" ht="13.5" customHeight="1">
      <c r="A45" s="227"/>
      <c r="B45" s="324"/>
      <c r="C45" s="216" t="s">
        <v>175</v>
      </c>
      <c r="D45" s="217"/>
      <c r="E45" s="217"/>
      <c r="F45" s="217"/>
      <c r="G45" s="273"/>
      <c r="H45" s="22"/>
      <c r="I45" s="23"/>
      <c r="J45" s="23"/>
      <c r="K45" s="23"/>
      <c r="L45" s="23"/>
      <c r="M45" s="23"/>
      <c r="N45" s="23"/>
      <c r="O45" s="23"/>
      <c r="P45" s="23"/>
      <c r="Q45" s="23"/>
      <c r="R45" s="23"/>
      <c r="S45" s="23"/>
      <c r="T45" s="23"/>
      <c r="U45" s="23"/>
      <c r="V45" s="23"/>
      <c r="W45" s="23"/>
      <c r="X45" s="23"/>
      <c r="Y45" s="23"/>
      <c r="Z45" s="23"/>
      <c r="AA45" s="23"/>
      <c r="AB45" s="23"/>
      <c r="AC45" s="23"/>
      <c r="AD45" s="23"/>
      <c r="AE45" s="87"/>
      <c r="AF45" s="121"/>
    </row>
    <row r="46" spans="1:32" s="17" customFormat="1" ht="13.5" customHeight="1">
      <c r="A46" s="227"/>
      <c r="B46" s="324"/>
      <c r="C46" s="284"/>
      <c r="D46" s="216" t="s">
        <v>174</v>
      </c>
      <c r="E46" s="217"/>
      <c r="F46" s="217"/>
      <c r="G46" s="273"/>
      <c r="H46" s="22" t="s">
        <v>80</v>
      </c>
      <c r="I46" s="23"/>
      <c r="J46" s="23"/>
      <c r="K46" s="23"/>
      <c r="L46" s="23"/>
      <c r="M46" s="23"/>
      <c r="N46" s="23"/>
      <c r="O46" s="23"/>
      <c r="P46" s="23"/>
      <c r="Q46" s="23"/>
      <c r="R46" s="23"/>
      <c r="S46" s="23"/>
      <c r="T46" s="23"/>
      <c r="U46" s="23"/>
      <c r="V46" s="23"/>
      <c r="W46" s="23"/>
      <c r="X46" s="23"/>
      <c r="Y46" s="23"/>
      <c r="Z46" s="23"/>
      <c r="AA46" s="23"/>
      <c r="AB46" s="23"/>
      <c r="AC46" s="23"/>
      <c r="AD46" s="23"/>
      <c r="AE46" s="87"/>
      <c r="AF46" s="121"/>
    </row>
    <row r="47" spans="1:32" s="17" customFormat="1" ht="13.5" customHeight="1">
      <c r="A47" s="227"/>
      <c r="B47" s="324"/>
      <c r="C47" s="285"/>
      <c r="D47" s="216" t="s">
        <v>173</v>
      </c>
      <c r="E47" s="217"/>
      <c r="F47" s="217"/>
      <c r="G47" s="273"/>
      <c r="H47" s="22"/>
      <c r="I47" s="23" t="s">
        <v>80</v>
      </c>
      <c r="J47" s="23"/>
      <c r="K47" s="23"/>
      <c r="L47" s="23"/>
      <c r="M47" s="23"/>
      <c r="N47" s="23"/>
      <c r="O47" s="23"/>
      <c r="P47" s="23"/>
      <c r="Q47" s="23"/>
      <c r="R47" s="23"/>
      <c r="S47" s="23"/>
      <c r="T47" s="23"/>
      <c r="U47" s="23"/>
      <c r="V47" s="23"/>
      <c r="W47" s="23"/>
      <c r="X47" s="23"/>
      <c r="Y47" s="23"/>
      <c r="Z47" s="23"/>
      <c r="AA47" s="23"/>
      <c r="AB47" s="23"/>
      <c r="AC47" s="23"/>
      <c r="AD47" s="23"/>
      <c r="AE47" s="87"/>
      <c r="AF47" s="121"/>
    </row>
    <row r="48" spans="1:32" s="17" customFormat="1" ht="13.5" customHeight="1">
      <c r="A48" s="227"/>
      <c r="B48" s="324"/>
      <c r="C48" s="285"/>
      <c r="D48" s="216" t="s">
        <v>172</v>
      </c>
      <c r="E48" s="217"/>
      <c r="F48" s="217"/>
      <c r="G48" s="273"/>
      <c r="H48" s="22"/>
      <c r="I48" s="23"/>
      <c r="J48" s="23" t="s">
        <v>80</v>
      </c>
      <c r="K48" s="23"/>
      <c r="L48" s="23"/>
      <c r="M48" s="23"/>
      <c r="N48" s="23"/>
      <c r="O48" s="23"/>
      <c r="P48" s="23"/>
      <c r="Q48" s="23"/>
      <c r="R48" s="23"/>
      <c r="S48" s="23"/>
      <c r="T48" s="23"/>
      <c r="U48" s="23"/>
      <c r="V48" s="23"/>
      <c r="W48" s="23"/>
      <c r="X48" s="23"/>
      <c r="Y48" s="23"/>
      <c r="Z48" s="23"/>
      <c r="AA48" s="23"/>
      <c r="AB48" s="23"/>
      <c r="AC48" s="23"/>
      <c r="AD48" s="23"/>
      <c r="AE48" s="87"/>
      <c r="AF48" s="121"/>
    </row>
    <row r="49" spans="1:32" s="17" customFormat="1" ht="13.5" customHeight="1">
      <c r="A49" s="227"/>
      <c r="B49" s="324"/>
      <c r="C49" s="285"/>
      <c r="D49" s="216" t="s">
        <v>171</v>
      </c>
      <c r="E49" s="217"/>
      <c r="F49" s="217"/>
      <c r="G49" s="273"/>
      <c r="H49" s="22"/>
      <c r="I49" s="23"/>
      <c r="J49" s="23"/>
      <c r="K49" s="23" t="s">
        <v>80</v>
      </c>
      <c r="L49" s="23"/>
      <c r="M49" s="23"/>
      <c r="N49" s="23"/>
      <c r="O49" s="23"/>
      <c r="P49" s="23"/>
      <c r="Q49" s="23"/>
      <c r="R49" s="23"/>
      <c r="S49" s="23"/>
      <c r="T49" s="23"/>
      <c r="U49" s="23"/>
      <c r="V49" s="23"/>
      <c r="W49" s="23"/>
      <c r="X49" s="23"/>
      <c r="Y49" s="23"/>
      <c r="Z49" s="23"/>
      <c r="AA49" s="23"/>
      <c r="AB49" s="23"/>
      <c r="AC49" s="23"/>
      <c r="AD49" s="23"/>
      <c r="AE49" s="87"/>
      <c r="AF49" s="121"/>
    </row>
    <row r="50" spans="1:32" s="17" customFormat="1" ht="13.5" customHeight="1">
      <c r="A50" s="227"/>
      <c r="B50" s="324"/>
      <c r="C50" s="285"/>
      <c r="D50" s="216" t="s">
        <v>170</v>
      </c>
      <c r="E50" s="217"/>
      <c r="F50" s="217"/>
      <c r="G50" s="273"/>
      <c r="H50" s="22"/>
      <c r="I50" s="23"/>
      <c r="J50" s="23"/>
      <c r="K50" s="23"/>
      <c r="L50" s="23" t="s">
        <v>80</v>
      </c>
      <c r="M50" s="23"/>
      <c r="N50" s="23"/>
      <c r="O50" s="23"/>
      <c r="P50" s="23"/>
      <c r="Q50" s="23"/>
      <c r="R50" s="23"/>
      <c r="S50" s="23"/>
      <c r="T50" s="23"/>
      <c r="U50" s="23"/>
      <c r="V50" s="23"/>
      <c r="W50" s="23"/>
      <c r="X50" s="23"/>
      <c r="Y50" s="23"/>
      <c r="Z50" s="23"/>
      <c r="AA50" s="23"/>
      <c r="AB50" s="23"/>
      <c r="AC50" s="23"/>
      <c r="AD50" s="23"/>
      <c r="AE50" s="87"/>
      <c r="AF50" s="121"/>
    </row>
    <row r="51" spans="1:32" s="17" customFormat="1" ht="13.5" customHeight="1">
      <c r="A51" s="227"/>
      <c r="B51" s="324"/>
      <c r="C51" s="285"/>
      <c r="D51" s="216" t="s">
        <v>169</v>
      </c>
      <c r="E51" s="217"/>
      <c r="F51" s="217"/>
      <c r="G51" s="273"/>
      <c r="H51" s="22"/>
      <c r="I51" s="23"/>
      <c r="J51" s="23"/>
      <c r="K51" s="23"/>
      <c r="L51" s="23"/>
      <c r="M51" s="23" t="s">
        <v>80</v>
      </c>
      <c r="N51" s="23"/>
      <c r="O51" s="23"/>
      <c r="P51" s="23"/>
      <c r="Q51" s="23"/>
      <c r="R51" s="23"/>
      <c r="S51" s="23"/>
      <c r="T51" s="23"/>
      <c r="U51" s="23"/>
      <c r="V51" s="23"/>
      <c r="W51" s="23"/>
      <c r="X51" s="23"/>
      <c r="Y51" s="23"/>
      <c r="Z51" s="23"/>
      <c r="AA51" s="23"/>
      <c r="AB51" s="23"/>
      <c r="AC51" s="23"/>
      <c r="AD51" s="23"/>
      <c r="AE51" s="87"/>
      <c r="AF51" s="121"/>
    </row>
    <row r="52" spans="1:32" s="17" customFormat="1" ht="13.5" customHeight="1">
      <c r="A52" s="227"/>
      <c r="B52" s="324"/>
      <c r="C52" s="285"/>
      <c r="D52" s="216" t="s">
        <v>168</v>
      </c>
      <c r="E52" s="217"/>
      <c r="F52" s="217"/>
      <c r="G52" s="273"/>
      <c r="H52" s="22"/>
      <c r="I52" s="23"/>
      <c r="J52" s="23"/>
      <c r="K52" s="23"/>
      <c r="L52" s="23"/>
      <c r="M52" s="23"/>
      <c r="N52" s="23" t="s">
        <v>80</v>
      </c>
      <c r="O52" s="23" t="s">
        <v>80</v>
      </c>
      <c r="P52" s="23"/>
      <c r="Q52" s="23"/>
      <c r="R52" s="23"/>
      <c r="S52" s="23"/>
      <c r="T52" s="23"/>
      <c r="U52" s="23"/>
      <c r="V52" s="23"/>
      <c r="W52" s="23"/>
      <c r="X52" s="23"/>
      <c r="Y52" s="23"/>
      <c r="Z52" s="23"/>
      <c r="AA52" s="23"/>
      <c r="AB52" s="23"/>
      <c r="AC52" s="23"/>
      <c r="AD52" s="23"/>
      <c r="AE52" s="87"/>
      <c r="AF52" s="121"/>
    </row>
    <row r="53" spans="1:32" s="17" customFormat="1" ht="13.5" customHeight="1">
      <c r="A53" s="227"/>
      <c r="B53" s="324"/>
      <c r="C53" s="285"/>
      <c r="D53" s="216" t="s">
        <v>167</v>
      </c>
      <c r="E53" s="217"/>
      <c r="F53" s="217"/>
      <c r="G53" s="273"/>
      <c r="H53" s="22"/>
      <c r="I53" s="23"/>
      <c r="J53" s="23"/>
      <c r="K53" s="23"/>
      <c r="L53" s="23"/>
      <c r="M53" s="23"/>
      <c r="N53" s="23"/>
      <c r="O53" s="23"/>
      <c r="P53" s="23" t="s">
        <v>80</v>
      </c>
      <c r="Q53" s="23"/>
      <c r="R53" s="23"/>
      <c r="S53" s="23"/>
      <c r="T53" s="23"/>
      <c r="U53" s="23"/>
      <c r="V53" s="23"/>
      <c r="W53" s="23"/>
      <c r="X53" s="23"/>
      <c r="Y53" s="23"/>
      <c r="Z53" s="23"/>
      <c r="AA53" s="23"/>
      <c r="AB53" s="23"/>
      <c r="AC53" s="23"/>
      <c r="AD53" s="23"/>
      <c r="AE53" s="87"/>
      <c r="AF53" s="121"/>
    </row>
    <row r="54" spans="1:32" s="17" customFormat="1" ht="13.5" customHeight="1">
      <c r="A54" s="227"/>
      <c r="B54" s="324"/>
      <c r="C54" s="285"/>
      <c r="D54" s="216" t="s">
        <v>166</v>
      </c>
      <c r="E54" s="217"/>
      <c r="F54" s="217"/>
      <c r="G54" s="273"/>
      <c r="H54" s="22"/>
      <c r="I54" s="23"/>
      <c r="J54" s="23"/>
      <c r="K54" s="23"/>
      <c r="L54" s="23"/>
      <c r="M54" s="23"/>
      <c r="N54" s="23"/>
      <c r="O54" s="23"/>
      <c r="P54" s="23"/>
      <c r="Q54" s="23" t="s">
        <v>80</v>
      </c>
      <c r="R54" s="23" t="s">
        <v>80</v>
      </c>
      <c r="S54" s="23" t="s">
        <v>80</v>
      </c>
      <c r="T54" s="23"/>
      <c r="U54" s="23"/>
      <c r="V54" s="23"/>
      <c r="W54" s="23"/>
      <c r="X54" s="23"/>
      <c r="Y54" s="23"/>
      <c r="Z54" s="23"/>
      <c r="AA54" s="23"/>
      <c r="AB54" s="23"/>
      <c r="AC54" s="23"/>
      <c r="AD54" s="23"/>
      <c r="AE54" s="87"/>
      <c r="AF54" s="121"/>
    </row>
    <row r="55" spans="1:32" s="17" customFormat="1" ht="13.5" customHeight="1">
      <c r="A55" s="227"/>
      <c r="B55" s="324"/>
      <c r="C55" s="285"/>
      <c r="D55" s="216" t="s">
        <v>165</v>
      </c>
      <c r="E55" s="217"/>
      <c r="F55" s="217"/>
      <c r="G55" s="273"/>
      <c r="H55" s="22"/>
      <c r="I55" s="23"/>
      <c r="J55" s="23"/>
      <c r="K55" s="23"/>
      <c r="L55" s="23"/>
      <c r="M55" s="23"/>
      <c r="N55" s="23"/>
      <c r="O55" s="23"/>
      <c r="P55" s="23"/>
      <c r="Q55" s="23"/>
      <c r="R55" s="23"/>
      <c r="S55" s="23"/>
      <c r="T55" s="23" t="s">
        <v>80</v>
      </c>
      <c r="U55" s="23"/>
      <c r="V55" s="23"/>
      <c r="W55" s="23"/>
      <c r="X55" s="23"/>
      <c r="Y55" s="23"/>
      <c r="Z55" s="23"/>
      <c r="AA55" s="23"/>
      <c r="AB55" s="23"/>
      <c r="AC55" s="23"/>
      <c r="AD55" s="23"/>
      <c r="AE55" s="87"/>
      <c r="AF55" s="121"/>
    </row>
    <row r="56" spans="1:32" s="17" customFormat="1" ht="13.5" customHeight="1">
      <c r="A56" s="227"/>
      <c r="B56" s="324"/>
      <c r="C56" s="285"/>
      <c r="D56" s="216" t="s">
        <v>164</v>
      </c>
      <c r="E56" s="217"/>
      <c r="F56" s="217"/>
      <c r="G56" s="273"/>
      <c r="H56" s="22"/>
      <c r="I56" s="23"/>
      <c r="J56" s="23"/>
      <c r="K56" s="23"/>
      <c r="L56" s="23"/>
      <c r="M56" s="23"/>
      <c r="N56" s="23"/>
      <c r="O56" s="23"/>
      <c r="P56" s="23"/>
      <c r="Q56" s="23"/>
      <c r="R56" s="23"/>
      <c r="S56" s="23"/>
      <c r="T56" s="23"/>
      <c r="U56" s="23" t="s">
        <v>80</v>
      </c>
      <c r="V56" s="23" t="s">
        <v>80</v>
      </c>
      <c r="W56" s="23" t="s">
        <v>80</v>
      </c>
      <c r="X56" s="23" t="s">
        <v>80</v>
      </c>
      <c r="Y56" s="23"/>
      <c r="Z56" s="23"/>
      <c r="AA56" s="23"/>
      <c r="AB56" s="23"/>
      <c r="AC56" s="23"/>
      <c r="AD56" s="23"/>
      <c r="AE56" s="87"/>
      <c r="AF56" s="121"/>
    </row>
    <row r="57" spans="1:32" s="17" customFormat="1" ht="13.5" customHeight="1">
      <c r="A57" s="227"/>
      <c r="B57" s="324"/>
      <c r="C57" s="286"/>
      <c r="D57" s="214" t="s">
        <v>163</v>
      </c>
      <c r="E57" s="215"/>
      <c r="F57" s="215"/>
      <c r="G57" s="312"/>
      <c r="H57" s="22"/>
      <c r="I57" s="23"/>
      <c r="J57" s="23"/>
      <c r="K57" s="23"/>
      <c r="L57" s="23"/>
      <c r="M57" s="23"/>
      <c r="N57" s="23"/>
      <c r="O57" s="23"/>
      <c r="P57" s="23"/>
      <c r="Q57" s="23"/>
      <c r="R57" s="23"/>
      <c r="S57" s="23"/>
      <c r="T57" s="23"/>
      <c r="U57" s="23"/>
      <c r="V57" s="23"/>
      <c r="W57" s="23"/>
      <c r="X57" s="23"/>
      <c r="Y57" s="23" t="s">
        <v>80</v>
      </c>
      <c r="Z57" s="23"/>
      <c r="AA57" s="23"/>
      <c r="AB57" s="23"/>
      <c r="AC57" s="23"/>
      <c r="AD57" s="23"/>
      <c r="AE57" s="87"/>
      <c r="AF57" s="121"/>
    </row>
    <row r="58" spans="1:32" s="17" customFormat="1" ht="13.5" customHeight="1">
      <c r="A58" s="227"/>
      <c r="B58" s="324"/>
      <c r="C58" s="216" t="s">
        <v>162</v>
      </c>
      <c r="D58" s="217"/>
      <c r="E58" s="217"/>
      <c r="F58" s="217"/>
      <c r="G58" s="273"/>
      <c r="H58" s="23" t="s">
        <v>80</v>
      </c>
      <c r="I58" s="23" t="s">
        <v>80</v>
      </c>
      <c r="J58" s="23" t="s">
        <v>80</v>
      </c>
      <c r="K58" s="23" t="s">
        <v>80</v>
      </c>
      <c r="L58" s="23" t="s">
        <v>80</v>
      </c>
      <c r="M58" s="23" t="s">
        <v>80</v>
      </c>
      <c r="N58" s="23" t="s">
        <v>80</v>
      </c>
      <c r="O58" s="23" t="s">
        <v>80</v>
      </c>
      <c r="P58" s="23" t="s">
        <v>80</v>
      </c>
      <c r="Q58" s="23" t="s">
        <v>80</v>
      </c>
      <c r="R58" s="23" t="s">
        <v>80</v>
      </c>
      <c r="S58" s="23" t="s">
        <v>80</v>
      </c>
      <c r="T58" s="23" t="s">
        <v>80</v>
      </c>
      <c r="U58" s="23" t="s">
        <v>80</v>
      </c>
      <c r="V58" s="23" t="s">
        <v>80</v>
      </c>
      <c r="W58" s="23" t="s">
        <v>80</v>
      </c>
      <c r="X58" s="23" t="s">
        <v>80</v>
      </c>
      <c r="Y58" s="23" t="s">
        <v>80</v>
      </c>
      <c r="Z58" s="23"/>
      <c r="AA58" s="23"/>
      <c r="AB58" s="23"/>
      <c r="AC58" s="23"/>
      <c r="AD58" s="23" t="s">
        <v>80</v>
      </c>
      <c r="AE58" s="23" t="s">
        <v>80</v>
      </c>
      <c r="AF58" s="23" t="s">
        <v>80</v>
      </c>
    </row>
    <row r="59" spans="1:32" s="17" customFormat="1" ht="13.5" customHeight="1">
      <c r="A59" s="227"/>
      <c r="B59" s="324"/>
      <c r="C59" s="284"/>
      <c r="D59" s="217" t="s">
        <v>161</v>
      </c>
      <c r="E59" s="217"/>
      <c r="F59" s="217"/>
      <c r="G59" s="273"/>
      <c r="H59" s="22"/>
      <c r="I59" s="23"/>
      <c r="J59" s="23"/>
      <c r="K59" s="23"/>
      <c r="L59" s="23"/>
      <c r="M59" s="23"/>
      <c r="N59" s="23"/>
      <c r="O59" s="23"/>
      <c r="P59" s="23"/>
      <c r="Q59" s="23"/>
      <c r="R59" s="23"/>
      <c r="S59" s="23"/>
      <c r="T59" s="23"/>
      <c r="U59" s="23"/>
      <c r="V59" s="23"/>
      <c r="W59" s="23"/>
      <c r="X59" s="23"/>
      <c r="Y59" s="23"/>
      <c r="Z59" s="23" t="s">
        <v>80</v>
      </c>
      <c r="AA59" s="23" t="s">
        <v>80</v>
      </c>
      <c r="AB59" s="23" t="s">
        <v>80</v>
      </c>
      <c r="AC59" s="23" t="s">
        <v>80</v>
      </c>
      <c r="AD59" s="23"/>
      <c r="AE59" s="87"/>
      <c r="AF59" s="121"/>
    </row>
    <row r="60" spans="1:32" s="17" customFormat="1" ht="13.5" customHeight="1">
      <c r="A60" s="227"/>
      <c r="B60" s="324"/>
      <c r="C60" s="286"/>
      <c r="D60" s="217" t="s">
        <v>225</v>
      </c>
      <c r="E60" s="217"/>
      <c r="F60" s="217"/>
      <c r="G60" s="273"/>
      <c r="H60" s="22"/>
      <c r="I60" s="23"/>
      <c r="J60" s="23"/>
      <c r="K60" s="23"/>
      <c r="L60" s="23"/>
      <c r="M60" s="23"/>
      <c r="N60" s="23"/>
      <c r="O60" s="23"/>
      <c r="P60" s="23"/>
      <c r="Q60" s="23"/>
      <c r="R60" s="23"/>
      <c r="S60" s="23"/>
      <c r="T60" s="23"/>
      <c r="U60" s="23"/>
      <c r="V60" s="23"/>
      <c r="W60" s="23"/>
      <c r="X60" s="23"/>
      <c r="Y60" s="23"/>
      <c r="Z60" s="23"/>
      <c r="AA60" s="23"/>
      <c r="AB60" s="23"/>
      <c r="AC60" s="23"/>
      <c r="AD60" s="23"/>
      <c r="AE60" s="87"/>
      <c r="AF60" s="121"/>
    </row>
    <row r="61" spans="1:32" s="17" customFormat="1" ht="13.5" customHeight="1">
      <c r="A61" s="227"/>
      <c r="B61" s="324"/>
      <c r="C61" s="216" t="s">
        <v>160</v>
      </c>
      <c r="D61" s="217"/>
      <c r="E61" s="217"/>
      <c r="F61" s="217"/>
      <c r="G61" s="273"/>
      <c r="H61" s="22"/>
      <c r="I61" s="23"/>
      <c r="J61" s="23"/>
      <c r="K61" s="23"/>
      <c r="L61" s="23"/>
      <c r="M61" s="23"/>
      <c r="N61" s="23"/>
      <c r="O61" s="23"/>
      <c r="P61" s="23"/>
      <c r="Q61" s="23"/>
      <c r="R61" s="23"/>
      <c r="S61" s="23"/>
      <c r="T61" s="23"/>
      <c r="U61" s="23"/>
      <c r="V61" s="23"/>
      <c r="W61" s="23"/>
      <c r="X61" s="23"/>
      <c r="Y61" s="23"/>
      <c r="Z61" s="23"/>
      <c r="AA61" s="23"/>
      <c r="AB61" s="23"/>
      <c r="AC61" s="23"/>
      <c r="AD61" s="23"/>
      <c r="AE61" s="87"/>
      <c r="AF61" s="121"/>
    </row>
    <row r="62" spans="1:32" s="17" customFormat="1" ht="13.5" customHeight="1">
      <c r="A62" s="227"/>
      <c r="B62" s="324"/>
      <c r="C62" s="284"/>
      <c r="D62" s="217" t="s">
        <v>159</v>
      </c>
      <c r="E62" s="217"/>
      <c r="F62" s="217"/>
      <c r="G62" s="273"/>
      <c r="H62" s="22"/>
      <c r="I62" s="23"/>
      <c r="J62" s="23"/>
      <c r="K62" s="23"/>
      <c r="L62" s="23"/>
      <c r="M62" s="23"/>
      <c r="N62" s="23"/>
      <c r="O62" s="23"/>
      <c r="P62" s="23"/>
      <c r="Q62" s="23"/>
      <c r="R62" s="23"/>
      <c r="S62" s="23"/>
      <c r="T62" s="23"/>
      <c r="U62" s="23"/>
      <c r="V62" s="23"/>
      <c r="W62" s="23"/>
      <c r="X62" s="23"/>
      <c r="Y62" s="23"/>
      <c r="Z62" s="23"/>
      <c r="AA62" s="23"/>
      <c r="AB62" s="23"/>
      <c r="AC62" s="23"/>
      <c r="AD62" s="76" t="s">
        <v>80</v>
      </c>
      <c r="AE62" s="87"/>
      <c r="AF62" s="121"/>
    </row>
    <row r="63" spans="1:32" s="17" customFormat="1" ht="13.5" customHeight="1">
      <c r="A63" s="227"/>
      <c r="B63" s="324"/>
      <c r="C63" s="286"/>
      <c r="D63" s="217" t="s">
        <v>158</v>
      </c>
      <c r="E63" s="217"/>
      <c r="F63" s="217"/>
      <c r="G63" s="273"/>
      <c r="H63" s="22"/>
      <c r="I63" s="23"/>
      <c r="J63" s="23"/>
      <c r="K63" s="23"/>
      <c r="L63" s="23"/>
      <c r="M63" s="23"/>
      <c r="N63" s="23"/>
      <c r="O63" s="23"/>
      <c r="P63" s="23"/>
      <c r="Q63" s="23"/>
      <c r="R63" s="23"/>
      <c r="S63" s="23"/>
      <c r="T63" s="23"/>
      <c r="U63" s="23"/>
      <c r="V63" s="23"/>
      <c r="W63" s="23"/>
      <c r="X63" s="23"/>
      <c r="Y63" s="23"/>
      <c r="Z63" s="23"/>
      <c r="AA63" s="23"/>
      <c r="AB63" s="23"/>
      <c r="AC63" s="23"/>
      <c r="AD63" s="76" t="s">
        <v>80</v>
      </c>
      <c r="AE63" s="87"/>
      <c r="AF63" s="121"/>
    </row>
    <row r="64" spans="1:32" s="17" customFormat="1" ht="13.5" customHeight="1">
      <c r="A64" s="227"/>
      <c r="B64" s="324"/>
      <c r="C64" s="216" t="s">
        <v>157</v>
      </c>
      <c r="D64" s="217"/>
      <c r="E64" s="217"/>
      <c r="F64" s="217"/>
      <c r="G64" s="217"/>
      <c r="H64" s="22"/>
      <c r="I64" s="23"/>
      <c r="J64" s="23"/>
      <c r="K64" s="23"/>
      <c r="L64" s="23"/>
      <c r="M64" s="23"/>
      <c r="N64" s="23"/>
      <c r="O64" s="23"/>
      <c r="P64" s="23"/>
      <c r="Q64" s="23"/>
      <c r="R64" s="23"/>
      <c r="S64" s="23"/>
      <c r="T64" s="23"/>
      <c r="U64" s="23"/>
      <c r="V64" s="23"/>
      <c r="W64" s="23"/>
      <c r="X64" s="23"/>
      <c r="Y64" s="23"/>
      <c r="Z64" s="23"/>
      <c r="AA64" s="23"/>
      <c r="AB64" s="23"/>
      <c r="AC64" s="23"/>
      <c r="AD64" s="23"/>
      <c r="AE64" s="87"/>
      <c r="AF64" s="121"/>
    </row>
    <row r="65" spans="1:32" s="17" customFormat="1" ht="13.5" customHeight="1">
      <c r="A65" s="227"/>
      <c r="B65" s="324"/>
      <c r="C65" s="79"/>
      <c r="D65" s="217" t="s">
        <v>156</v>
      </c>
      <c r="E65" s="217"/>
      <c r="F65" s="217"/>
      <c r="G65" s="273"/>
      <c r="H65" s="22"/>
      <c r="I65" s="23"/>
      <c r="J65" s="23"/>
      <c r="K65" s="23"/>
      <c r="L65" s="23"/>
      <c r="M65" s="23"/>
      <c r="N65" s="23"/>
      <c r="O65" s="23"/>
      <c r="P65" s="23"/>
      <c r="Q65" s="23"/>
      <c r="R65" s="23"/>
      <c r="S65" s="23"/>
      <c r="T65" s="23"/>
      <c r="U65" s="23"/>
      <c r="V65" s="23"/>
      <c r="W65" s="23"/>
      <c r="X65" s="23"/>
      <c r="Y65" s="23"/>
      <c r="Z65" s="23"/>
      <c r="AA65" s="23"/>
      <c r="AB65" s="23"/>
      <c r="AC65" s="23"/>
      <c r="AD65" s="23"/>
      <c r="AE65" s="76" t="s">
        <v>80</v>
      </c>
      <c r="AF65" s="121"/>
    </row>
    <row r="66" spans="1:32" s="17" customFormat="1" ht="13.5" customHeight="1">
      <c r="A66" s="227"/>
      <c r="B66" s="324"/>
      <c r="C66" s="216" t="s">
        <v>137</v>
      </c>
      <c r="D66" s="217"/>
      <c r="E66" s="217"/>
      <c r="F66" s="217"/>
      <c r="G66" s="273"/>
      <c r="H66" s="22"/>
      <c r="I66" s="23"/>
      <c r="J66" s="23"/>
      <c r="K66" s="23"/>
      <c r="L66" s="23"/>
      <c r="M66" s="23"/>
      <c r="N66" s="23"/>
      <c r="O66" s="23"/>
      <c r="P66" s="23"/>
      <c r="Q66" s="23"/>
      <c r="R66" s="23"/>
      <c r="S66" s="23"/>
      <c r="T66" s="23"/>
      <c r="U66" s="23"/>
      <c r="V66" s="23"/>
      <c r="W66" s="23"/>
      <c r="X66" s="23"/>
      <c r="Y66" s="23"/>
      <c r="Z66" s="23"/>
      <c r="AA66" s="23"/>
      <c r="AB66" s="23"/>
      <c r="AC66" s="23"/>
      <c r="AD66" s="23"/>
      <c r="AE66" s="87"/>
      <c r="AF66" s="121"/>
    </row>
    <row r="67" spans="1:32" s="17" customFormat="1" ht="13.5" customHeight="1" thickBot="1">
      <c r="A67" s="227"/>
      <c r="B67" s="324"/>
      <c r="C67" s="104"/>
      <c r="D67" s="346" t="s">
        <v>110</v>
      </c>
      <c r="E67" s="347"/>
      <c r="F67" s="347"/>
      <c r="G67" s="348"/>
      <c r="H67" s="88"/>
      <c r="I67" s="23"/>
      <c r="J67" s="23"/>
      <c r="K67" s="23"/>
      <c r="L67" s="23"/>
      <c r="M67" s="23"/>
      <c r="N67" s="23"/>
      <c r="O67" s="23"/>
      <c r="P67" s="23"/>
      <c r="Q67" s="23"/>
      <c r="R67" s="23"/>
      <c r="S67" s="23"/>
      <c r="T67" s="23"/>
      <c r="U67" s="23"/>
      <c r="V67" s="23"/>
      <c r="W67" s="23"/>
      <c r="X67" s="23"/>
      <c r="Y67" s="23"/>
      <c r="Z67" s="23"/>
      <c r="AA67" s="23"/>
      <c r="AB67" s="23"/>
      <c r="AC67" s="23"/>
      <c r="AD67" s="23"/>
      <c r="AE67" s="87"/>
      <c r="AF67" s="121"/>
    </row>
    <row r="68" spans="1:32" s="17" customFormat="1" ht="24" customHeight="1">
      <c r="A68" s="218" t="s">
        <v>155</v>
      </c>
      <c r="B68" s="220"/>
      <c r="C68" s="221"/>
      <c r="D68" s="221"/>
      <c r="E68" s="221"/>
      <c r="F68" s="222"/>
      <c r="G68" s="35" t="s">
        <v>154</v>
      </c>
      <c r="H68" s="36" t="s">
        <v>81</v>
      </c>
      <c r="I68" s="37" t="s">
        <v>81</v>
      </c>
      <c r="J68" s="37" t="s">
        <v>153</v>
      </c>
      <c r="K68" s="37" t="s">
        <v>81</v>
      </c>
      <c r="L68" s="37" t="s">
        <v>81</v>
      </c>
      <c r="M68" s="37" t="s">
        <v>81</v>
      </c>
      <c r="N68" s="37" t="s">
        <v>153</v>
      </c>
      <c r="O68" s="37" t="s">
        <v>153</v>
      </c>
      <c r="P68" s="37" t="s">
        <v>81</v>
      </c>
      <c r="Q68" s="37" t="s">
        <v>153</v>
      </c>
      <c r="R68" s="37" t="s">
        <v>153</v>
      </c>
      <c r="S68" s="37" t="s">
        <v>153</v>
      </c>
      <c r="T68" s="37" t="s">
        <v>81</v>
      </c>
      <c r="U68" s="37" t="s">
        <v>153</v>
      </c>
      <c r="V68" s="37" t="s">
        <v>153</v>
      </c>
      <c r="W68" s="37" t="s">
        <v>153</v>
      </c>
      <c r="X68" s="37" t="s">
        <v>153</v>
      </c>
      <c r="Y68" s="37" t="s">
        <v>81</v>
      </c>
      <c r="Z68" s="37"/>
      <c r="AA68" s="37"/>
      <c r="AB68" s="37"/>
      <c r="AC68" s="37"/>
      <c r="AD68" s="37"/>
      <c r="AE68" s="37"/>
      <c r="AF68" s="38"/>
    </row>
    <row r="69" spans="1:32" s="17" customFormat="1" ht="27" customHeight="1">
      <c r="A69" s="219"/>
      <c r="B69" s="223"/>
      <c r="C69" s="224"/>
      <c r="D69" s="224"/>
      <c r="E69" s="224"/>
      <c r="F69" s="225"/>
      <c r="G69" s="39" t="s">
        <v>152</v>
      </c>
      <c r="H69" s="40"/>
      <c r="I69" s="74"/>
      <c r="J69" s="74"/>
      <c r="K69" s="74"/>
      <c r="L69" s="74"/>
      <c r="M69" s="74"/>
      <c r="N69" s="74"/>
      <c r="O69" s="74"/>
      <c r="P69" s="74"/>
      <c r="Q69" s="74"/>
      <c r="R69" s="74"/>
      <c r="S69" s="74"/>
      <c r="T69" s="74"/>
      <c r="U69" s="74"/>
      <c r="V69" s="74"/>
      <c r="W69" s="74"/>
      <c r="X69" s="74"/>
      <c r="Y69" s="74"/>
      <c r="Z69" s="74"/>
      <c r="AA69" s="74"/>
      <c r="AB69" s="74"/>
      <c r="AC69" s="74"/>
      <c r="AD69" s="74"/>
      <c r="AE69" s="74"/>
      <c r="AF69" s="42"/>
    </row>
    <row r="70" spans="1:32" s="17" customFormat="1" ht="27" customHeight="1">
      <c r="A70" s="219"/>
      <c r="B70" s="223"/>
      <c r="C70" s="224"/>
      <c r="D70" s="224"/>
      <c r="E70" s="224"/>
      <c r="F70" s="225"/>
      <c r="G70" s="39" t="s">
        <v>151</v>
      </c>
      <c r="H70" s="43"/>
      <c r="I70" s="44"/>
      <c r="J70" s="44"/>
      <c r="K70" s="44"/>
      <c r="L70" s="44"/>
      <c r="M70" s="44"/>
      <c r="N70" s="44"/>
      <c r="O70" s="44"/>
      <c r="P70" s="44"/>
      <c r="Q70" s="44"/>
      <c r="R70" s="44"/>
      <c r="S70" s="44"/>
      <c r="T70" s="44"/>
      <c r="U70" s="44"/>
      <c r="V70" s="44"/>
      <c r="W70" s="44"/>
      <c r="X70" s="44"/>
      <c r="Y70" s="44"/>
      <c r="Z70" s="44"/>
      <c r="AA70" s="44"/>
      <c r="AB70" s="44"/>
      <c r="AC70" s="44"/>
      <c r="AD70" s="44"/>
      <c r="AE70" s="44"/>
      <c r="AF70" s="45"/>
    </row>
    <row r="71" spans="1:32" s="17" customFormat="1" ht="24.75" customHeight="1">
      <c r="A71" s="219"/>
      <c r="B71" s="223"/>
      <c r="C71" s="224"/>
      <c r="D71" s="224"/>
      <c r="E71" s="224"/>
      <c r="F71" s="225"/>
      <c r="G71" s="46" t="s">
        <v>150</v>
      </c>
      <c r="H71" s="40"/>
      <c r="I71" s="74"/>
      <c r="J71" s="74"/>
      <c r="K71" s="74"/>
      <c r="L71" s="74"/>
      <c r="M71" s="74"/>
      <c r="N71" s="74"/>
      <c r="O71" s="74"/>
      <c r="P71" s="74"/>
      <c r="Q71" s="74"/>
      <c r="R71" s="74"/>
      <c r="S71" s="74"/>
      <c r="T71" s="74"/>
      <c r="U71" s="74"/>
      <c r="V71" s="74"/>
      <c r="W71" s="74"/>
      <c r="X71" s="74"/>
      <c r="Y71" s="74"/>
      <c r="Z71" s="74"/>
      <c r="AA71" s="74"/>
      <c r="AB71" s="74"/>
      <c r="AC71" s="74"/>
      <c r="AD71" s="74"/>
      <c r="AE71" s="74"/>
      <c r="AF71" s="42"/>
    </row>
    <row r="72" spans="1:32" s="17" customFormat="1" ht="24.75" customHeight="1">
      <c r="A72" s="258" t="s">
        <v>149</v>
      </c>
      <c r="B72" s="260" t="s">
        <v>148</v>
      </c>
      <c r="C72" s="260"/>
      <c r="D72" s="260"/>
      <c r="E72" s="260"/>
      <c r="F72" s="261" t="str">
        <f>GetBugSheetName()</f>
        <v>Edit_Logout_</v>
      </c>
      <c r="G72" s="262"/>
      <c r="H72" s="60"/>
      <c r="I72" s="53"/>
      <c r="J72" s="53"/>
      <c r="K72" s="53"/>
      <c r="L72" s="53"/>
      <c r="M72" s="53"/>
      <c r="N72" s="53"/>
      <c r="O72" s="53"/>
      <c r="P72" s="53"/>
      <c r="Q72" s="53"/>
      <c r="R72" s="53"/>
      <c r="S72" s="53"/>
      <c r="T72" s="53"/>
      <c r="U72" s="53"/>
      <c r="V72" s="53"/>
      <c r="W72" s="53"/>
      <c r="X72" s="53"/>
      <c r="Y72" s="53"/>
      <c r="Z72" s="53"/>
      <c r="AA72" s="53"/>
      <c r="AB72" s="53"/>
      <c r="AC72" s="53"/>
      <c r="AD72" s="53"/>
      <c r="AE72" s="53"/>
      <c r="AF72" s="54"/>
    </row>
    <row r="73" spans="1:32" s="17" customFormat="1" ht="36" customHeight="1" thickBot="1">
      <c r="A73" s="259"/>
      <c r="B73" s="246" t="s">
        <v>147</v>
      </c>
      <c r="C73" s="247"/>
      <c r="D73" s="247"/>
      <c r="E73" s="248"/>
      <c r="F73" s="246"/>
      <c r="G73" s="263"/>
      <c r="H73" s="61"/>
      <c r="I73" s="55"/>
      <c r="J73" s="55"/>
      <c r="K73" s="55"/>
      <c r="L73" s="55"/>
      <c r="M73" s="55"/>
      <c r="N73" s="55"/>
      <c r="O73" s="55"/>
      <c r="P73" s="55"/>
      <c r="Q73" s="55"/>
      <c r="R73" s="55"/>
      <c r="S73" s="55" t="str">
        <f t="shared" ref="S73:AF73" si="1">IF(S72="","",(SUM(LEN(S72)-LEN(SUBSTITUTE(S72,",","")))/LEN(",")) + 1 )</f>
        <v/>
      </c>
      <c r="T73" s="55" t="str">
        <f t="shared" si="1"/>
        <v/>
      </c>
      <c r="U73" s="55" t="str">
        <f t="shared" si="1"/>
        <v/>
      </c>
      <c r="V73" s="55" t="str">
        <f t="shared" si="1"/>
        <v/>
      </c>
      <c r="W73" s="55" t="str">
        <f t="shared" si="1"/>
        <v/>
      </c>
      <c r="X73" s="55" t="str">
        <f t="shared" si="1"/>
        <v/>
      </c>
      <c r="Y73" s="55" t="str">
        <f t="shared" si="1"/>
        <v/>
      </c>
      <c r="Z73" s="55" t="str">
        <f t="shared" si="1"/>
        <v/>
      </c>
      <c r="AA73" s="55" t="str">
        <f t="shared" si="1"/>
        <v/>
      </c>
      <c r="AB73" s="55" t="str">
        <f t="shared" si="1"/>
        <v/>
      </c>
      <c r="AC73" s="55" t="str">
        <f t="shared" si="1"/>
        <v/>
      </c>
      <c r="AD73" s="55" t="str">
        <f t="shared" si="1"/>
        <v/>
      </c>
      <c r="AE73" s="55" t="str">
        <f t="shared" si="1"/>
        <v/>
      </c>
      <c r="AF73" s="56" t="str">
        <f t="shared" si="1"/>
        <v/>
      </c>
    </row>
    <row r="74" spans="1:32" s="17" customFormat="1">
      <c r="H74" s="47"/>
      <c r="I74" s="47"/>
      <c r="J74" s="47"/>
      <c r="K74" s="47"/>
      <c r="L74" s="47"/>
      <c r="M74" s="47"/>
      <c r="N74" s="48"/>
      <c r="O74" s="49"/>
      <c r="P74" s="47"/>
      <c r="Q74" s="47"/>
      <c r="R74" s="47"/>
      <c r="S74" s="47"/>
      <c r="T74" s="47"/>
      <c r="U74" s="47"/>
      <c r="V74" s="47"/>
    </row>
  </sheetData>
  <sheetProtection insertRows="0"/>
  <protectedRanges>
    <protectedRange sqref="H68:AF72" name="Range3_1_1"/>
    <protectedRange sqref="H4:AF4 AD62:AD63 AE5:AF57 AE60:AF67" name="Range2_1_1"/>
    <protectedRange sqref="B1:O1 P2 T1 B2:E2" name="Range1_1_1"/>
    <protectedRange sqref="P2 AC2:AF2" name="Range1_1_1_1"/>
    <protectedRange sqref="B36 D36:G36" name="Range2_1_2"/>
    <protectedRange sqref="AC1:AF1" name="Range1_1_1_3"/>
    <protectedRange sqref="C61:G63 B61:B67 B37:C57 D37:G45 B58:G60" name="Range2_1_3_1"/>
    <protectedRange sqref="C64:G65" name="Range2_1_8"/>
    <protectedRange sqref="C66:G66" name="Range2_1_8_1"/>
    <protectedRange sqref="C67:G67" name="Range2_1_11"/>
    <protectedRange sqref="D46:G57" name="Range2_1_30_1"/>
    <protectedRange sqref="H64:AD67 H62:AC63 H5:AD57 H60:AD61 H58:AF58 H59:AC59" name="Range2_1_1_1_1"/>
  </protectedRanges>
  <mergeCells count="98">
    <mergeCell ref="D54:G54"/>
    <mergeCell ref="D55:G55"/>
    <mergeCell ref="C58:G58"/>
    <mergeCell ref="D60:G60"/>
    <mergeCell ref="D67:G67"/>
    <mergeCell ref="C62:C63"/>
    <mergeCell ref="D62:G62"/>
    <mergeCell ref="D63:G63"/>
    <mergeCell ref="C64:G64"/>
    <mergeCell ref="D65:G65"/>
    <mergeCell ref="D59:G59"/>
    <mergeCell ref="C59:C60"/>
    <mergeCell ref="D56:G56"/>
    <mergeCell ref="D57:G57"/>
    <mergeCell ref="B38:B67"/>
    <mergeCell ref="C38:G38"/>
    <mergeCell ref="C39:C44"/>
    <mergeCell ref="D39:G39"/>
    <mergeCell ref="D40:G40"/>
    <mergeCell ref="D41:G41"/>
    <mergeCell ref="D42:G42"/>
    <mergeCell ref="D44:G44"/>
    <mergeCell ref="C45:G45"/>
    <mergeCell ref="C61:G61"/>
    <mergeCell ref="C66:G66"/>
    <mergeCell ref="D51:G51"/>
    <mergeCell ref="D52:G52"/>
    <mergeCell ref="D53:G53"/>
    <mergeCell ref="D24:G24"/>
    <mergeCell ref="D25:G25"/>
    <mergeCell ref="D26:G26"/>
    <mergeCell ref="D49:G49"/>
    <mergeCell ref="D50:G50"/>
    <mergeCell ref="C31:G31"/>
    <mergeCell ref="C32:G32"/>
    <mergeCell ref="C33:G33"/>
    <mergeCell ref="C34:C35"/>
    <mergeCell ref="D34:G34"/>
    <mergeCell ref="D35:G35"/>
    <mergeCell ref="D43:G43"/>
    <mergeCell ref="C46:C57"/>
    <mergeCell ref="D46:G46"/>
    <mergeCell ref="D47:G47"/>
    <mergeCell ref="D48:G48"/>
    <mergeCell ref="A72:A73"/>
    <mergeCell ref="B72:E72"/>
    <mergeCell ref="F72:G72"/>
    <mergeCell ref="B73:E73"/>
    <mergeCell ref="F73:G73"/>
    <mergeCell ref="A68:A71"/>
    <mergeCell ref="B68:F68"/>
    <mergeCell ref="B69:F69"/>
    <mergeCell ref="B70:F70"/>
    <mergeCell ref="B71:F71"/>
    <mergeCell ref="A4:A36"/>
    <mergeCell ref="B4:G4"/>
    <mergeCell ref="B36:G36"/>
    <mergeCell ref="A37:A67"/>
    <mergeCell ref="B37:G37"/>
    <mergeCell ref="B5:G5"/>
    <mergeCell ref="C6:G6"/>
    <mergeCell ref="C7:G7"/>
    <mergeCell ref="B8:B35"/>
    <mergeCell ref="C8:G8"/>
    <mergeCell ref="D14:G14"/>
    <mergeCell ref="C15:G15"/>
    <mergeCell ref="C16:G16"/>
    <mergeCell ref="C17:C19"/>
    <mergeCell ref="D17:G17"/>
    <mergeCell ref="D18:G18"/>
    <mergeCell ref="AC2:AF2"/>
    <mergeCell ref="B1:E1"/>
    <mergeCell ref="F1:O1"/>
    <mergeCell ref="P1:S1"/>
    <mergeCell ref="T1:Z1"/>
    <mergeCell ref="AA1:AB1"/>
    <mergeCell ref="AC1:AF1"/>
    <mergeCell ref="B2:E2"/>
    <mergeCell ref="F2:H2"/>
    <mergeCell ref="I2:O2"/>
    <mergeCell ref="P2:Z2"/>
    <mergeCell ref="AA2:AB2"/>
    <mergeCell ref="C27:G27"/>
    <mergeCell ref="C28:G28"/>
    <mergeCell ref="C29:G29"/>
    <mergeCell ref="C30:G30"/>
    <mergeCell ref="C9:G9"/>
    <mergeCell ref="C10:G10"/>
    <mergeCell ref="C11:G11"/>
    <mergeCell ref="C12:G12"/>
    <mergeCell ref="C13:C14"/>
    <mergeCell ref="D13:G13"/>
    <mergeCell ref="D19:G19"/>
    <mergeCell ref="C20:G20"/>
    <mergeCell ref="C21:G21"/>
    <mergeCell ref="C22:C26"/>
    <mergeCell ref="D22:G22"/>
    <mergeCell ref="D23:G23"/>
  </mergeCells>
  <conditionalFormatting sqref="AD5:AD61 AD64:AD67 AD58:AF58 H5:AC67">
    <cfRule type="expression" dxfId="42" priority="1" stopIfTrue="1">
      <formula>H$71="NA"</formula>
    </cfRule>
    <cfRule type="expression" dxfId="41" priority="2" stopIfTrue="1">
      <formula>H$71="NG"</formula>
    </cfRule>
  </conditionalFormatting>
  <dataValidations count="10">
    <dataValidation allowBlank="1" showInputMessage="1" showErrorMessage="1" promptTitle="Input conditions" prompt="that need to be checked." sqref="A4:A36"/>
    <dataValidation allowBlank="1" showInputMessage="1" showErrorMessage="1" promptTitle="Check points" prompt="that need / need not be executed" sqref="A37:A67"/>
    <dataValidation allowBlank="1" showInputMessage="1" showErrorMessage="1" promptTitle="Condition Type" prompt="N : Normal _x000a_A : Abnormal _x000a_B : Boundary" sqref="G68"/>
    <dataValidation allowBlank="1" showInputMessage="1" showErrorMessage="1" promptTitle="Enter" prompt="Name of the person who performed the test" sqref="G69"/>
    <dataValidation allowBlank="1" showInputMessage="1" showErrorMessage="1" promptTitle="Testing Date" prompt="Date on which test was performed in yyyy/mm/dd format" sqref="G70"/>
    <dataValidation allowBlank="1" showInputMessage="1" showErrorMessage="1" promptTitle="Test Result" prompt="OK : Result is OK      _x000a_NG : Result is not as expected_x000a_NA : Not Applicable      _x000a_PT : Testing Pending (as Data not available/ cannot be generated currently)" sqref="G71"/>
    <dataValidation allowBlank="1" showInputMessage="1" showErrorMessage="1" promptTitle="Bug ID" prompt="Unique ID throughout the project._x000a_For every Bug found during Test as well as Re-Test, a new Bug ID needs to be entered here (as a comma seperated value)" sqref="B72:E72"/>
    <dataValidation allowBlank="1" showInputMessage="1" showErrorMessage="1" promptTitle="PCL sheet name" prompt=" " sqref="F72:G72"/>
    <dataValidation type="list" allowBlank="1" showInputMessage="1" showErrorMessage="1" sqref="H71:AF71">
      <formula1>"OK, NG, NA, PT"</formula1>
    </dataValidation>
    <dataValidation type="list" allowBlank="1" showInputMessage="1" showErrorMessage="1" sqref="H68:AF68">
      <formula1>"N, A, B"</formula1>
    </dataValidation>
  </dataValidations>
  <printOptions horizontalCentered="1"/>
  <pageMargins left="0.55118110236220474" right="0.46" top="0.98425196850393704" bottom="0.98425196850393704" header="0.51181102362204722" footer="0.51181102362204722"/>
  <pageSetup paperSize="9" scale="52"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3.xml><?xml version="1.0" encoding="utf-8"?>
<worksheet xmlns="http://schemas.openxmlformats.org/spreadsheetml/2006/main" xmlns:r="http://schemas.openxmlformats.org/officeDocument/2006/relationships">
  <sheetPr codeName="Sheet10"/>
  <dimension ref="A1:AF74"/>
  <sheetViews>
    <sheetView view="pageBreakPreview" zoomScale="85" zoomScaleNormal="70" workbookViewId="0">
      <pane xSplit="7" ySplit="3" topLeftCell="H38" activePane="bottomRight" state="frozen"/>
      <selection activeCell="B27" sqref="B27:G27"/>
      <selection pane="topRight" activeCell="B27" sqref="B27:G27"/>
      <selection pane="bottomLeft" activeCell="B27" sqref="B27:G27"/>
      <selection pane="bottomRight" activeCell="H3" sqref="H3"/>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123</v>
      </c>
      <c r="J2" s="247"/>
      <c r="K2" s="247"/>
      <c r="L2" s="247"/>
      <c r="M2" s="247"/>
      <c r="N2" s="247"/>
      <c r="O2" s="248"/>
      <c r="P2" s="243"/>
      <c r="Q2" s="244"/>
      <c r="R2" s="244"/>
      <c r="S2" s="244"/>
      <c r="T2" s="244"/>
      <c r="U2" s="244"/>
      <c r="V2" s="244"/>
      <c r="W2" s="244"/>
      <c r="X2" s="244"/>
      <c r="Y2" s="244"/>
      <c r="Z2" s="245"/>
      <c r="AA2" s="255" t="s">
        <v>210</v>
      </c>
      <c r="AB2" s="256"/>
      <c r="AC2" s="243" t="s">
        <v>297</v>
      </c>
      <c r="AD2" s="244"/>
      <c r="AE2" s="244"/>
      <c r="AF2" s="257"/>
    </row>
    <row r="3" spans="1:32" ht="37.5" customHeight="1" thickBot="1">
      <c r="A3" s="66" t="s">
        <v>209</v>
      </c>
      <c r="B3" s="10"/>
      <c r="C3" s="10"/>
      <c r="D3" s="10"/>
      <c r="E3" s="10"/>
      <c r="F3" s="10"/>
      <c r="G3" s="65" t="s">
        <v>208</v>
      </c>
      <c r="H3" s="11">
        <f>IF(COUNTA(H4:H68)&gt;0,1,"")</f>
        <v>1</v>
      </c>
      <c r="I3" s="12">
        <f t="shared" ref="I3:AF3" si="0">IF(COUNTA(I4:I68)&gt;0,IF(H3&gt;0,H3+1,""),"")</f>
        <v>2</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207</v>
      </c>
      <c r="B4" s="230" t="s">
        <v>206</v>
      </c>
      <c r="C4" s="230"/>
      <c r="D4" s="230"/>
      <c r="E4" s="230"/>
      <c r="F4" s="230"/>
      <c r="G4" s="287"/>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34" t="s">
        <v>205</v>
      </c>
      <c r="C5" s="235"/>
      <c r="D5" s="235"/>
      <c r="E5" s="235"/>
      <c r="F5" s="235"/>
      <c r="G5" s="264"/>
      <c r="H5" s="18"/>
      <c r="I5" s="19"/>
      <c r="J5" s="19"/>
      <c r="K5" s="19"/>
      <c r="L5" s="19"/>
      <c r="M5" s="19"/>
      <c r="N5" s="19"/>
      <c r="O5" s="19"/>
      <c r="P5" s="19"/>
      <c r="Q5" s="19"/>
      <c r="R5" s="19"/>
      <c r="S5" s="19"/>
      <c r="T5" s="19"/>
      <c r="U5" s="19"/>
      <c r="V5" s="19"/>
      <c r="W5" s="19"/>
      <c r="X5" s="19"/>
      <c r="Y5" s="19"/>
      <c r="Z5" s="19"/>
      <c r="AA5" s="19"/>
      <c r="AB5" s="19"/>
      <c r="AC5" s="19"/>
      <c r="AD5" s="19"/>
      <c r="AE5" s="76"/>
      <c r="AF5" s="122"/>
    </row>
    <row r="6" spans="1:32" s="17" customFormat="1" ht="13.5" customHeight="1">
      <c r="A6" s="233"/>
      <c r="B6" s="77"/>
      <c r="C6" s="268" t="s">
        <v>204</v>
      </c>
      <c r="D6" s="268"/>
      <c r="E6" s="268"/>
      <c r="F6" s="268"/>
      <c r="G6" s="288"/>
      <c r="H6" s="18"/>
      <c r="I6" s="19"/>
      <c r="J6" s="19"/>
      <c r="K6" s="19"/>
      <c r="L6" s="19"/>
      <c r="M6" s="19"/>
      <c r="N6" s="19"/>
      <c r="O6" s="19"/>
      <c r="P6" s="19"/>
      <c r="Q6" s="19"/>
      <c r="R6" s="19"/>
      <c r="S6" s="19"/>
      <c r="T6" s="19"/>
      <c r="U6" s="19"/>
      <c r="V6" s="19"/>
      <c r="W6" s="19"/>
      <c r="X6" s="19"/>
      <c r="Y6" s="19"/>
      <c r="Z6" s="19"/>
      <c r="AA6" s="19"/>
      <c r="AB6" s="19"/>
      <c r="AC6" s="19"/>
      <c r="AD6" s="19"/>
      <c r="AE6" s="76"/>
      <c r="AF6" s="122"/>
    </row>
    <row r="7" spans="1:32" s="17" customFormat="1" ht="13.5" customHeight="1">
      <c r="A7" s="233"/>
      <c r="B7" s="77"/>
      <c r="C7" s="268" t="s">
        <v>203</v>
      </c>
      <c r="D7" s="268"/>
      <c r="E7" s="268"/>
      <c r="F7" s="268"/>
      <c r="G7" s="288"/>
      <c r="H7" s="18"/>
      <c r="I7" s="19"/>
      <c r="J7" s="19"/>
      <c r="K7" s="19"/>
      <c r="L7" s="19"/>
      <c r="M7" s="19"/>
      <c r="N7" s="19"/>
      <c r="O7" s="19"/>
      <c r="P7" s="19"/>
      <c r="Q7" s="19"/>
      <c r="R7" s="19"/>
      <c r="S7" s="19"/>
      <c r="T7" s="19"/>
      <c r="U7" s="19"/>
      <c r="V7" s="19"/>
      <c r="W7" s="19"/>
      <c r="X7" s="19"/>
      <c r="Y7" s="19"/>
      <c r="Z7" s="19"/>
      <c r="AA7" s="19"/>
      <c r="AB7" s="19"/>
      <c r="AC7" s="19"/>
      <c r="AD7" s="19"/>
      <c r="AE7" s="76"/>
      <c r="AF7" s="122"/>
    </row>
    <row r="8" spans="1:32" s="17" customFormat="1" ht="13.5" customHeight="1">
      <c r="A8" s="233"/>
      <c r="B8" s="238"/>
      <c r="C8" s="234" t="s">
        <v>202</v>
      </c>
      <c r="D8" s="237"/>
      <c r="E8" s="237"/>
      <c r="F8" s="237"/>
      <c r="G8" s="304"/>
      <c r="H8" s="22"/>
      <c r="I8" s="23"/>
      <c r="J8" s="23"/>
      <c r="K8" s="23"/>
      <c r="L8" s="23"/>
      <c r="M8" s="23"/>
      <c r="N8" s="23"/>
      <c r="O8" s="23"/>
      <c r="P8" s="23"/>
      <c r="Q8" s="23"/>
      <c r="R8" s="23"/>
      <c r="S8" s="23"/>
      <c r="T8" s="23"/>
      <c r="U8" s="23"/>
      <c r="V8" s="23"/>
      <c r="W8" s="23"/>
      <c r="X8" s="23"/>
      <c r="Y8" s="23"/>
      <c r="Z8" s="23"/>
      <c r="AA8" s="23"/>
      <c r="AB8" s="23"/>
      <c r="AC8" s="23"/>
      <c r="AD8" s="23"/>
      <c r="AE8" s="76"/>
      <c r="AF8" s="122"/>
    </row>
    <row r="9" spans="1:32" s="17" customFormat="1" ht="13.5" customHeight="1">
      <c r="A9" s="233"/>
      <c r="B9" s="238"/>
      <c r="C9" s="268" t="s">
        <v>201</v>
      </c>
      <c r="D9" s="268"/>
      <c r="E9" s="268"/>
      <c r="F9" s="268"/>
      <c r="G9" s="288"/>
      <c r="H9" s="22"/>
      <c r="I9" s="23"/>
      <c r="J9" s="23"/>
      <c r="K9" s="23"/>
      <c r="L9" s="23"/>
      <c r="M9" s="23"/>
      <c r="N9" s="23"/>
      <c r="O9" s="23"/>
      <c r="P9" s="23"/>
      <c r="Q9" s="23"/>
      <c r="R9" s="23"/>
      <c r="S9" s="23"/>
      <c r="T9" s="23"/>
      <c r="U9" s="23"/>
      <c r="V9" s="23"/>
      <c r="W9" s="23"/>
      <c r="X9" s="23"/>
      <c r="Y9" s="23"/>
      <c r="Z9" s="23"/>
      <c r="AA9" s="23"/>
      <c r="AB9" s="23"/>
      <c r="AC9" s="23"/>
      <c r="AD9" s="23"/>
      <c r="AE9" s="76"/>
      <c r="AF9" s="122"/>
    </row>
    <row r="10" spans="1:32" s="17" customFormat="1" ht="13.5" customHeight="1">
      <c r="A10" s="233"/>
      <c r="B10" s="238"/>
      <c r="C10" s="268" t="s">
        <v>200</v>
      </c>
      <c r="D10" s="268"/>
      <c r="E10" s="268"/>
      <c r="F10" s="268"/>
      <c r="G10" s="288"/>
      <c r="H10" s="22"/>
      <c r="I10" s="23"/>
      <c r="J10" s="23"/>
      <c r="K10" s="23"/>
      <c r="L10" s="23"/>
      <c r="M10" s="23"/>
      <c r="N10" s="23"/>
      <c r="O10" s="23"/>
      <c r="P10" s="23"/>
      <c r="Q10" s="23"/>
      <c r="R10" s="23"/>
      <c r="S10" s="23"/>
      <c r="T10" s="23"/>
      <c r="U10" s="23"/>
      <c r="V10" s="23"/>
      <c r="W10" s="23"/>
      <c r="X10" s="23"/>
      <c r="Y10" s="23"/>
      <c r="Z10" s="23"/>
      <c r="AA10" s="23"/>
      <c r="AB10" s="23"/>
      <c r="AC10" s="23"/>
      <c r="AD10" s="23"/>
      <c r="AE10" s="76"/>
      <c r="AF10" s="122"/>
    </row>
    <row r="11" spans="1:32" s="17" customFormat="1" ht="13.5" customHeight="1">
      <c r="A11" s="233"/>
      <c r="B11" s="238"/>
      <c r="C11" s="268" t="s">
        <v>199</v>
      </c>
      <c r="D11" s="268"/>
      <c r="E11" s="268"/>
      <c r="F11" s="268"/>
      <c r="G11" s="288"/>
      <c r="H11" s="22"/>
      <c r="I11" s="23"/>
      <c r="J11" s="23"/>
      <c r="K11" s="23"/>
      <c r="L11" s="23"/>
      <c r="M11" s="23"/>
      <c r="N11" s="23"/>
      <c r="O11" s="23"/>
      <c r="P11" s="23"/>
      <c r="Q11" s="23"/>
      <c r="R11" s="23"/>
      <c r="S11" s="23"/>
      <c r="T11" s="23"/>
      <c r="U11" s="23"/>
      <c r="V11" s="23"/>
      <c r="W11" s="23"/>
      <c r="X11" s="23"/>
      <c r="Y11" s="23"/>
      <c r="Z11" s="23"/>
      <c r="AA11" s="23"/>
      <c r="AB11" s="23"/>
      <c r="AC11" s="23"/>
      <c r="AD11" s="23"/>
      <c r="AE11" s="76"/>
      <c r="AF11" s="122"/>
    </row>
    <row r="12" spans="1:32" s="17" customFormat="1" ht="13.5" customHeight="1">
      <c r="A12" s="233"/>
      <c r="B12" s="238"/>
      <c r="C12" s="268" t="s">
        <v>198</v>
      </c>
      <c r="D12" s="268"/>
      <c r="E12" s="268"/>
      <c r="F12" s="268"/>
      <c r="G12" s="288"/>
      <c r="H12" s="22"/>
      <c r="I12" s="23"/>
      <c r="J12" s="23"/>
      <c r="K12" s="23"/>
      <c r="L12" s="23"/>
      <c r="M12" s="23"/>
      <c r="N12" s="23"/>
      <c r="O12" s="23"/>
      <c r="P12" s="23"/>
      <c r="Q12" s="23"/>
      <c r="R12" s="23"/>
      <c r="S12" s="23"/>
      <c r="T12" s="23"/>
      <c r="U12" s="23"/>
      <c r="V12" s="23"/>
      <c r="W12" s="23"/>
      <c r="X12" s="23"/>
      <c r="Y12" s="23"/>
      <c r="Z12" s="23"/>
      <c r="AA12" s="23"/>
      <c r="AB12" s="23"/>
      <c r="AC12" s="23"/>
      <c r="AD12" s="23"/>
      <c r="AE12" s="76"/>
      <c r="AF12" s="122"/>
    </row>
    <row r="13" spans="1:32" s="17" customFormat="1" ht="13.5" customHeight="1">
      <c r="A13" s="233"/>
      <c r="B13" s="238"/>
      <c r="C13" s="324"/>
      <c r="D13" s="268" t="s">
        <v>197</v>
      </c>
      <c r="E13" s="268"/>
      <c r="F13" s="268"/>
      <c r="G13" s="288"/>
      <c r="H13" s="22"/>
      <c r="I13" s="23"/>
      <c r="J13" s="23"/>
      <c r="K13" s="23"/>
      <c r="L13" s="23"/>
      <c r="M13" s="23"/>
      <c r="N13" s="23"/>
      <c r="O13" s="23"/>
      <c r="P13" s="23"/>
      <c r="Q13" s="23"/>
      <c r="R13" s="23"/>
      <c r="S13" s="23"/>
      <c r="T13" s="23"/>
      <c r="U13" s="23"/>
      <c r="V13" s="23"/>
      <c r="W13" s="23"/>
      <c r="X13" s="23"/>
      <c r="Y13" s="23"/>
      <c r="Z13" s="23"/>
      <c r="AA13" s="23"/>
      <c r="AB13" s="23"/>
      <c r="AC13" s="23"/>
      <c r="AD13" s="23"/>
      <c r="AE13" s="76"/>
      <c r="AF13" s="122"/>
    </row>
    <row r="14" spans="1:32" s="17" customFormat="1" ht="13.5" customHeight="1">
      <c r="A14" s="233"/>
      <c r="B14" s="238"/>
      <c r="C14" s="324"/>
      <c r="D14" s="268" t="s">
        <v>196</v>
      </c>
      <c r="E14" s="268"/>
      <c r="F14" s="268"/>
      <c r="G14" s="288"/>
      <c r="H14" s="22"/>
      <c r="I14" s="23"/>
      <c r="J14" s="23"/>
      <c r="K14" s="23"/>
      <c r="L14" s="23"/>
      <c r="M14" s="23"/>
      <c r="N14" s="23"/>
      <c r="O14" s="23"/>
      <c r="P14" s="23"/>
      <c r="Q14" s="23"/>
      <c r="R14" s="23"/>
      <c r="S14" s="23"/>
      <c r="T14" s="23"/>
      <c r="U14" s="23"/>
      <c r="V14" s="23"/>
      <c r="W14" s="23"/>
      <c r="X14" s="23"/>
      <c r="Y14" s="23"/>
      <c r="Z14" s="23"/>
      <c r="AA14" s="23"/>
      <c r="AB14" s="23"/>
      <c r="AC14" s="23"/>
      <c r="AD14" s="23"/>
      <c r="AE14" s="76"/>
      <c r="AF14" s="122"/>
    </row>
    <row r="15" spans="1:32" s="17" customFormat="1" ht="13.5" customHeight="1">
      <c r="A15" s="233"/>
      <c r="B15" s="238"/>
      <c r="C15" s="268" t="s">
        <v>195</v>
      </c>
      <c r="D15" s="268"/>
      <c r="E15" s="268"/>
      <c r="F15" s="268"/>
      <c r="G15" s="288"/>
      <c r="H15" s="22"/>
      <c r="I15" s="23"/>
      <c r="J15" s="23"/>
      <c r="K15" s="23"/>
      <c r="L15" s="23"/>
      <c r="M15" s="23"/>
      <c r="N15" s="23"/>
      <c r="O15" s="23"/>
      <c r="P15" s="23"/>
      <c r="Q15" s="23"/>
      <c r="R15" s="23"/>
      <c r="S15" s="23"/>
      <c r="T15" s="23"/>
      <c r="U15" s="23"/>
      <c r="V15" s="23"/>
      <c r="W15" s="23"/>
      <c r="X15" s="23"/>
      <c r="Y15" s="23"/>
      <c r="Z15" s="23"/>
      <c r="AA15" s="23"/>
      <c r="AB15" s="23"/>
      <c r="AC15" s="23"/>
      <c r="AD15" s="23"/>
      <c r="AE15" s="76"/>
      <c r="AF15" s="122"/>
    </row>
    <row r="16" spans="1:32" s="17" customFormat="1" ht="13.5" customHeight="1">
      <c r="A16" s="233"/>
      <c r="B16" s="238"/>
      <c r="C16" s="268" t="s">
        <v>194</v>
      </c>
      <c r="D16" s="268"/>
      <c r="E16" s="268"/>
      <c r="F16" s="268"/>
      <c r="G16" s="288"/>
      <c r="H16" s="22"/>
      <c r="I16" s="23"/>
      <c r="J16" s="23"/>
      <c r="K16" s="23"/>
      <c r="L16" s="23"/>
      <c r="M16" s="23"/>
      <c r="N16" s="23"/>
      <c r="O16" s="23"/>
      <c r="P16" s="23"/>
      <c r="Q16" s="23"/>
      <c r="R16" s="23"/>
      <c r="S16" s="23"/>
      <c r="T16" s="23"/>
      <c r="U16" s="23"/>
      <c r="V16" s="23"/>
      <c r="W16" s="23"/>
      <c r="X16" s="23"/>
      <c r="Y16" s="23"/>
      <c r="Z16" s="23"/>
      <c r="AA16" s="23"/>
      <c r="AB16" s="23"/>
      <c r="AC16" s="23"/>
      <c r="AD16" s="23"/>
      <c r="AE16" s="76"/>
      <c r="AF16" s="122"/>
    </row>
    <row r="17" spans="1:32" s="17" customFormat="1" ht="13.5" customHeight="1">
      <c r="A17" s="233"/>
      <c r="B17" s="238"/>
      <c r="C17" s="268"/>
      <c r="D17" s="268" t="s">
        <v>193</v>
      </c>
      <c r="E17" s="268"/>
      <c r="F17" s="268"/>
      <c r="G17" s="288"/>
      <c r="H17" s="22"/>
      <c r="I17" s="23"/>
      <c r="J17" s="23"/>
      <c r="K17" s="23"/>
      <c r="L17" s="23"/>
      <c r="M17" s="23"/>
      <c r="N17" s="23"/>
      <c r="O17" s="23"/>
      <c r="P17" s="23"/>
      <c r="Q17" s="23"/>
      <c r="R17" s="23"/>
      <c r="S17" s="23"/>
      <c r="T17" s="23"/>
      <c r="U17" s="23"/>
      <c r="V17" s="23"/>
      <c r="W17" s="23"/>
      <c r="X17" s="23"/>
      <c r="Y17" s="23"/>
      <c r="Z17" s="23"/>
      <c r="AA17" s="23"/>
      <c r="AB17" s="23"/>
      <c r="AC17" s="23"/>
      <c r="AD17" s="23"/>
      <c r="AE17" s="76"/>
      <c r="AF17" s="122"/>
    </row>
    <row r="18" spans="1:32" s="17" customFormat="1" ht="13.5" customHeight="1">
      <c r="A18" s="233"/>
      <c r="B18" s="238"/>
      <c r="C18" s="268"/>
      <c r="D18" s="268" t="s">
        <v>192</v>
      </c>
      <c r="E18" s="268"/>
      <c r="F18" s="268"/>
      <c r="G18" s="288"/>
      <c r="H18" s="22"/>
      <c r="I18" s="23"/>
      <c r="J18" s="23"/>
      <c r="K18" s="23"/>
      <c r="L18" s="23"/>
      <c r="M18" s="23"/>
      <c r="N18" s="23"/>
      <c r="O18" s="23"/>
      <c r="P18" s="23"/>
      <c r="Q18" s="23"/>
      <c r="R18" s="23"/>
      <c r="S18" s="23"/>
      <c r="T18" s="23"/>
      <c r="U18" s="23"/>
      <c r="V18" s="23"/>
      <c r="W18" s="23"/>
      <c r="X18" s="23"/>
      <c r="Y18" s="23"/>
      <c r="Z18" s="23"/>
      <c r="AA18" s="23"/>
      <c r="AB18" s="23"/>
      <c r="AC18" s="23"/>
      <c r="AD18" s="23"/>
      <c r="AE18" s="76"/>
      <c r="AF18" s="122"/>
    </row>
    <row r="19" spans="1:32" s="17" customFormat="1" ht="13.5" customHeight="1">
      <c r="A19" s="233"/>
      <c r="B19" s="238"/>
      <c r="C19" s="268"/>
      <c r="D19" s="268" t="s">
        <v>191</v>
      </c>
      <c r="E19" s="268"/>
      <c r="F19" s="268"/>
      <c r="G19" s="288"/>
      <c r="H19" s="22"/>
      <c r="I19" s="23"/>
      <c r="J19" s="23"/>
      <c r="K19" s="23"/>
      <c r="L19" s="23"/>
      <c r="M19" s="23"/>
      <c r="N19" s="23"/>
      <c r="O19" s="23"/>
      <c r="P19" s="23"/>
      <c r="Q19" s="23"/>
      <c r="R19" s="23"/>
      <c r="S19" s="23"/>
      <c r="T19" s="23"/>
      <c r="U19" s="23"/>
      <c r="V19" s="23"/>
      <c r="W19" s="23"/>
      <c r="X19" s="23"/>
      <c r="Y19" s="23"/>
      <c r="Z19" s="23"/>
      <c r="AA19" s="23"/>
      <c r="AB19" s="23"/>
      <c r="AC19" s="23"/>
      <c r="AD19" s="23"/>
      <c r="AE19" s="76"/>
      <c r="AF19" s="122"/>
    </row>
    <row r="20" spans="1:32" s="17" customFormat="1" ht="13.5" customHeight="1">
      <c r="A20" s="233"/>
      <c r="B20" s="238"/>
      <c r="C20" s="268" t="s">
        <v>190</v>
      </c>
      <c r="D20" s="268"/>
      <c r="E20" s="268"/>
      <c r="F20" s="268"/>
      <c r="G20" s="288"/>
      <c r="H20" s="22"/>
      <c r="I20" s="23"/>
      <c r="J20" s="23"/>
      <c r="K20" s="23"/>
      <c r="L20" s="23"/>
      <c r="M20" s="23"/>
      <c r="N20" s="23"/>
      <c r="O20" s="23"/>
      <c r="P20" s="23"/>
      <c r="Q20" s="23"/>
      <c r="R20" s="23"/>
      <c r="S20" s="23"/>
      <c r="T20" s="23"/>
      <c r="U20" s="23"/>
      <c r="V20" s="23"/>
      <c r="W20" s="23"/>
      <c r="X20" s="23"/>
      <c r="Y20" s="23"/>
      <c r="Z20" s="23"/>
      <c r="AA20" s="23"/>
      <c r="AB20" s="23"/>
      <c r="AC20" s="23"/>
      <c r="AD20" s="23"/>
      <c r="AE20" s="76"/>
      <c r="AF20" s="122"/>
    </row>
    <row r="21" spans="1:32" s="17" customFormat="1" ht="13.5" customHeight="1">
      <c r="A21" s="233"/>
      <c r="B21" s="238"/>
      <c r="C21" s="268" t="s">
        <v>189</v>
      </c>
      <c r="D21" s="268"/>
      <c r="E21" s="268"/>
      <c r="F21" s="268"/>
      <c r="G21" s="288"/>
      <c r="H21" s="22"/>
      <c r="I21" s="23"/>
      <c r="J21" s="23"/>
      <c r="K21" s="23"/>
      <c r="L21" s="23"/>
      <c r="M21" s="23"/>
      <c r="N21" s="23"/>
      <c r="O21" s="23"/>
      <c r="P21" s="23"/>
      <c r="Q21" s="23"/>
      <c r="R21" s="23"/>
      <c r="S21" s="23"/>
      <c r="T21" s="23"/>
      <c r="U21" s="23"/>
      <c r="V21" s="23"/>
      <c r="W21" s="23"/>
      <c r="X21" s="23"/>
      <c r="Y21" s="23"/>
      <c r="Z21" s="23"/>
      <c r="AA21" s="23"/>
      <c r="AB21" s="23"/>
      <c r="AC21" s="23"/>
      <c r="AD21" s="23"/>
      <c r="AE21" s="76"/>
      <c r="AF21" s="122"/>
    </row>
    <row r="22" spans="1:32" s="17" customFormat="1" ht="13.5" customHeight="1">
      <c r="A22" s="233"/>
      <c r="B22" s="238"/>
      <c r="C22" s="324"/>
      <c r="D22" s="345" t="s">
        <v>188</v>
      </c>
      <c r="E22" s="268"/>
      <c r="F22" s="268"/>
      <c r="G22" s="288"/>
      <c r="H22" s="22"/>
      <c r="I22" s="23"/>
      <c r="J22" s="23"/>
      <c r="K22" s="23"/>
      <c r="L22" s="23"/>
      <c r="M22" s="23"/>
      <c r="N22" s="23"/>
      <c r="O22" s="23"/>
      <c r="P22" s="23"/>
      <c r="Q22" s="23"/>
      <c r="R22" s="23"/>
      <c r="S22" s="23"/>
      <c r="T22" s="23"/>
      <c r="U22" s="23"/>
      <c r="V22" s="23"/>
      <c r="W22" s="23"/>
      <c r="X22" s="23"/>
      <c r="Y22" s="23"/>
      <c r="Z22" s="23"/>
      <c r="AA22" s="23"/>
      <c r="AB22" s="23"/>
      <c r="AC22" s="23"/>
      <c r="AD22" s="23"/>
      <c r="AE22" s="76"/>
      <c r="AF22" s="122"/>
    </row>
    <row r="23" spans="1:32" s="17" customFormat="1" ht="13.5" customHeight="1">
      <c r="A23" s="233"/>
      <c r="B23" s="238"/>
      <c r="C23" s="324"/>
      <c r="D23" s="345" t="s">
        <v>187</v>
      </c>
      <c r="E23" s="268"/>
      <c r="F23" s="268"/>
      <c r="G23" s="288"/>
      <c r="H23" s="22"/>
      <c r="I23" s="23"/>
      <c r="J23" s="23"/>
      <c r="K23" s="23"/>
      <c r="L23" s="23"/>
      <c r="M23" s="23"/>
      <c r="N23" s="23"/>
      <c r="O23" s="23"/>
      <c r="P23" s="23"/>
      <c r="Q23" s="23"/>
      <c r="R23" s="23"/>
      <c r="S23" s="23"/>
      <c r="T23" s="23"/>
      <c r="U23" s="23"/>
      <c r="V23" s="23"/>
      <c r="W23" s="23"/>
      <c r="X23" s="23"/>
      <c r="Y23" s="23"/>
      <c r="Z23" s="23"/>
      <c r="AA23" s="23"/>
      <c r="AB23" s="23"/>
      <c r="AC23" s="23"/>
      <c r="AD23" s="23"/>
      <c r="AE23" s="76"/>
      <c r="AF23" s="122"/>
    </row>
    <row r="24" spans="1:32" s="17" customFormat="1" ht="13.5" customHeight="1">
      <c r="A24" s="233"/>
      <c r="B24" s="238"/>
      <c r="C24" s="324"/>
      <c r="D24" s="345" t="s">
        <v>186</v>
      </c>
      <c r="E24" s="268"/>
      <c r="F24" s="268"/>
      <c r="G24" s="288"/>
      <c r="H24" s="22"/>
      <c r="I24" s="23"/>
      <c r="J24" s="23"/>
      <c r="K24" s="23"/>
      <c r="L24" s="23"/>
      <c r="M24" s="23"/>
      <c r="N24" s="23"/>
      <c r="O24" s="23"/>
      <c r="P24" s="23"/>
      <c r="Q24" s="23"/>
      <c r="R24" s="23"/>
      <c r="S24" s="23"/>
      <c r="T24" s="23"/>
      <c r="U24" s="23"/>
      <c r="V24" s="23"/>
      <c r="W24" s="23"/>
      <c r="X24" s="23"/>
      <c r="Y24" s="23"/>
      <c r="Z24" s="23"/>
      <c r="AA24" s="23"/>
      <c r="AB24" s="23"/>
      <c r="AC24" s="23"/>
      <c r="AD24" s="23"/>
      <c r="AE24" s="76"/>
      <c r="AF24" s="122"/>
    </row>
    <row r="25" spans="1:32" s="17" customFormat="1" ht="13.5" customHeight="1">
      <c r="A25" s="233"/>
      <c r="B25" s="238"/>
      <c r="C25" s="324"/>
      <c r="D25" s="345" t="s">
        <v>185</v>
      </c>
      <c r="E25" s="268"/>
      <c r="F25" s="268"/>
      <c r="G25" s="288"/>
      <c r="H25" s="22"/>
      <c r="I25" s="23"/>
      <c r="J25" s="23"/>
      <c r="K25" s="23"/>
      <c r="L25" s="23"/>
      <c r="M25" s="23"/>
      <c r="N25" s="23"/>
      <c r="O25" s="23"/>
      <c r="P25" s="23"/>
      <c r="Q25" s="23"/>
      <c r="R25" s="23"/>
      <c r="S25" s="23"/>
      <c r="T25" s="23"/>
      <c r="U25" s="23"/>
      <c r="V25" s="23"/>
      <c r="W25" s="23"/>
      <c r="X25" s="23"/>
      <c r="Y25" s="23"/>
      <c r="Z25" s="23"/>
      <c r="AA25" s="23"/>
      <c r="AB25" s="23"/>
      <c r="AC25" s="23"/>
      <c r="AD25" s="23"/>
      <c r="AE25" s="76"/>
      <c r="AF25" s="122"/>
    </row>
    <row r="26" spans="1:32" s="17" customFormat="1" ht="13.5" customHeight="1">
      <c r="A26" s="233"/>
      <c r="B26" s="238"/>
      <c r="C26" s="324"/>
      <c r="D26" s="237" t="s">
        <v>184</v>
      </c>
      <c r="E26" s="237"/>
      <c r="F26" s="237"/>
      <c r="G26" s="304"/>
      <c r="H26" s="22"/>
      <c r="I26" s="23"/>
      <c r="J26" s="23"/>
      <c r="K26" s="23"/>
      <c r="L26" s="23"/>
      <c r="M26" s="23"/>
      <c r="N26" s="23"/>
      <c r="O26" s="23"/>
      <c r="P26" s="23"/>
      <c r="Q26" s="23"/>
      <c r="R26" s="23"/>
      <c r="S26" s="23"/>
      <c r="T26" s="23"/>
      <c r="U26" s="23"/>
      <c r="V26" s="23"/>
      <c r="W26" s="23"/>
      <c r="X26" s="23"/>
      <c r="Y26" s="23"/>
      <c r="Z26" s="23"/>
      <c r="AA26" s="23"/>
      <c r="AB26" s="23"/>
      <c r="AC26" s="23"/>
      <c r="AD26" s="23"/>
      <c r="AE26" s="76"/>
      <c r="AF26" s="122"/>
    </row>
    <row r="27" spans="1:32" s="17" customFormat="1" ht="13.5" customHeight="1">
      <c r="A27" s="233"/>
      <c r="B27" s="238"/>
      <c r="C27" s="234" t="s">
        <v>220</v>
      </c>
      <c r="D27" s="237"/>
      <c r="E27" s="237"/>
      <c r="F27" s="237"/>
      <c r="G27" s="304"/>
      <c r="H27" s="22"/>
      <c r="I27" s="23"/>
      <c r="J27" s="23"/>
      <c r="K27" s="23"/>
      <c r="L27" s="23"/>
      <c r="M27" s="23"/>
      <c r="N27" s="23"/>
      <c r="O27" s="23"/>
      <c r="P27" s="23"/>
      <c r="Q27" s="23"/>
      <c r="R27" s="23"/>
      <c r="S27" s="23"/>
      <c r="T27" s="23"/>
      <c r="U27" s="23"/>
      <c r="V27" s="23"/>
      <c r="W27" s="23"/>
      <c r="X27" s="23"/>
      <c r="Y27" s="23"/>
      <c r="Z27" s="23"/>
      <c r="AA27" s="23"/>
      <c r="AB27" s="23"/>
      <c r="AC27" s="23"/>
      <c r="AD27" s="23"/>
      <c r="AE27" s="76"/>
      <c r="AF27" s="122"/>
    </row>
    <row r="28" spans="1:32" s="17" customFormat="1" ht="13.5" customHeight="1">
      <c r="A28" s="233"/>
      <c r="B28" s="238"/>
      <c r="C28" s="234" t="s">
        <v>221</v>
      </c>
      <c r="D28" s="237"/>
      <c r="E28" s="237"/>
      <c r="F28" s="237"/>
      <c r="G28" s="304"/>
      <c r="H28" s="22"/>
      <c r="I28" s="23"/>
      <c r="J28" s="23"/>
      <c r="K28" s="23"/>
      <c r="L28" s="23"/>
      <c r="M28" s="23"/>
      <c r="N28" s="23"/>
      <c r="O28" s="23"/>
      <c r="P28" s="23"/>
      <c r="Q28" s="23"/>
      <c r="R28" s="23"/>
      <c r="S28" s="23"/>
      <c r="T28" s="23"/>
      <c r="U28" s="23"/>
      <c r="V28" s="23"/>
      <c r="W28" s="23"/>
      <c r="X28" s="23"/>
      <c r="Y28" s="23"/>
      <c r="Z28" s="23"/>
      <c r="AA28" s="23"/>
      <c r="AB28" s="23"/>
      <c r="AC28" s="23"/>
      <c r="AD28" s="23"/>
      <c r="AE28" s="76"/>
      <c r="AF28" s="122"/>
    </row>
    <row r="29" spans="1:32" s="17" customFormat="1" ht="13.5" customHeight="1">
      <c r="A29" s="233"/>
      <c r="B29" s="238"/>
      <c r="C29" s="234" t="s">
        <v>222</v>
      </c>
      <c r="D29" s="237"/>
      <c r="E29" s="237"/>
      <c r="F29" s="237"/>
      <c r="G29" s="304"/>
      <c r="H29" s="22"/>
      <c r="I29" s="23"/>
      <c r="J29" s="23"/>
      <c r="K29" s="23"/>
      <c r="L29" s="23"/>
      <c r="M29" s="23"/>
      <c r="N29" s="23"/>
      <c r="O29" s="23"/>
      <c r="P29" s="23"/>
      <c r="Q29" s="23"/>
      <c r="R29" s="23"/>
      <c r="S29" s="23"/>
      <c r="T29" s="23"/>
      <c r="U29" s="23"/>
      <c r="V29" s="23"/>
      <c r="W29" s="23"/>
      <c r="X29" s="23"/>
      <c r="Y29" s="23"/>
      <c r="Z29" s="23"/>
      <c r="AA29" s="23"/>
      <c r="AB29" s="23"/>
      <c r="AC29" s="23"/>
      <c r="AD29" s="23"/>
      <c r="AE29" s="76"/>
      <c r="AF29" s="122"/>
    </row>
    <row r="30" spans="1:32" s="17" customFormat="1" ht="13.5" customHeight="1">
      <c r="A30" s="233"/>
      <c r="B30" s="238"/>
      <c r="C30" s="234" t="s">
        <v>223</v>
      </c>
      <c r="D30" s="237"/>
      <c r="E30" s="237"/>
      <c r="F30" s="237"/>
      <c r="G30" s="304"/>
      <c r="H30" s="22"/>
      <c r="I30" s="23"/>
      <c r="J30" s="23"/>
      <c r="K30" s="23"/>
      <c r="L30" s="23"/>
      <c r="M30" s="23"/>
      <c r="N30" s="23"/>
      <c r="O30" s="23"/>
      <c r="P30" s="23"/>
      <c r="Q30" s="23"/>
      <c r="R30" s="23"/>
      <c r="S30" s="23"/>
      <c r="T30" s="23"/>
      <c r="U30" s="23"/>
      <c r="V30" s="23"/>
      <c r="W30" s="23"/>
      <c r="X30" s="23"/>
      <c r="Y30" s="23"/>
      <c r="Z30" s="23"/>
      <c r="AA30" s="23"/>
      <c r="AB30" s="23"/>
      <c r="AC30" s="23"/>
      <c r="AD30" s="23"/>
      <c r="AE30" s="76"/>
      <c r="AF30" s="122"/>
    </row>
    <row r="31" spans="1:32" s="17" customFormat="1" ht="13.5" customHeight="1">
      <c r="A31" s="233"/>
      <c r="B31" s="238"/>
      <c r="C31" s="234" t="s">
        <v>160</v>
      </c>
      <c r="D31" s="237"/>
      <c r="E31" s="237"/>
      <c r="F31" s="237"/>
      <c r="G31" s="304"/>
      <c r="H31" s="22"/>
      <c r="I31" s="23"/>
      <c r="J31" s="23"/>
      <c r="K31" s="23"/>
      <c r="L31" s="23"/>
      <c r="M31" s="23"/>
      <c r="N31" s="23"/>
      <c r="O31" s="23"/>
      <c r="P31" s="23"/>
      <c r="Q31" s="23"/>
      <c r="R31" s="23"/>
      <c r="S31" s="23"/>
      <c r="T31" s="23"/>
      <c r="U31" s="23"/>
      <c r="V31" s="23"/>
      <c r="W31" s="23"/>
      <c r="X31" s="23"/>
      <c r="Y31" s="23"/>
      <c r="Z31" s="23"/>
      <c r="AA31" s="23"/>
      <c r="AB31" s="23"/>
      <c r="AC31" s="23"/>
      <c r="AD31" s="23"/>
      <c r="AE31" s="76"/>
      <c r="AF31" s="122"/>
    </row>
    <row r="32" spans="1:32" s="17" customFormat="1" ht="13.5" customHeight="1">
      <c r="A32" s="233"/>
      <c r="B32" s="238"/>
      <c r="C32" s="234" t="s">
        <v>157</v>
      </c>
      <c r="D32" s="237"/>
      <c r="E32" s="237"/>
      <c r="F32" s="237"/>
      <c r="G32" s="304"/>
      <c r="H32" s="22"/>
      <c r="I32" s="23"/>
      <c r="J32" s="23"/>
      <c r="K32" s="23"/>
      <c r="L32" s="23"/>
      <c r="M32" s="23"/>
      <c r="N32" s="23"/>
      <c r="O32" s="23"/>
      <c r="P32" s="23"/>
      <c r="Q32" s="23"/>
      <c r="R32" s="23"/>
      <c r="S32" s="23"/>
      <c r="T32" s="23"/>
      <c r="U32" s="23"/>
      <c r="V32" s="23"/>
      <c r="W32" s="23"/>
      <c r="X32" s="23"/>
      <c r="Y32" s="23"/>
      <c r="Z32" s="23"/>
      <c r="AA32" s="23"/>
      <c r="AB32" s="23"/>
      <c r="AC32" s="23"/>
      <c r="AD32" s="23"/>
      <c r="AE32" s="76"/>
      <c r="AF32" s="122"/>
    </row>
    <row r="33" spans="1:32" s="17" customFormat="1" ht="13.5" customHeight="1">
      <c r="A33" s="233"/>
      <c r="B33" s="238"/>
      <c r="C33" s="268" t="s">
        <v>183</v>
      </c>
      <c r="D33" s="268"/>
      <c r="E33" s="268"/>
      <c r="F33" s="268"/>
      <c r="G33" s="288"/>
      <c r="H33" s="22"/>
      <c r="I33" s="23"/>
      <c r="J33" s="23"/>
      <c r="K33" s="23"/>
      <c r="L33" s="23"/>
      <c r="M33" s="23"/>
      <c r="N33" s="23"/>
      <c r="O33" s="23"/>
      <c r="P33" s="23"/>
      <c r="Q33" s="23"/>
      <c r="R33" s="23"/>
      <c r="S33" s="23"/>
      <c r="T33" s="23"/>
      <c r="U33" s="23"/>
      <c r="V33" s="23"/>
      <c r="W33" s="23"/>
      <c r="X33" s="23"/>
      <c r="Y33" s="23"/>
      <c r="Z33" s="23"/>
      <c r="AA33" s="23"/>
      <c r="AB33" s="23"/>
      <c r="AC33" s="23"/>
      <c r="AD33" s="23"/>
      <c r="AE33" s="76"/>
      <c r="AF33" s="122"/>
    </row>
    <row r="34" spans="1:32" s="17" customFormat="1" ht="13.5" customHeight="1">
      <c r="A34" s="233"/>
      <c r="B34" s="238"/>
      <c r="C34" s="324"/>
      <c r="D34" s="268" t="s">
        <v>182</v>
      </c>
      <c r="E34" s="268"/>
      <c r="F34" s="268"/>
      <c r="G34" s="288"/>
      <c r="H34" s="22"/>
      <c r="I34" s="23"/>
      <c r="J34" s="23"/>
      <c r="K34" s="23"/>
      <c r="L34" s="23"/>
      <c r="M34" s="23"/>
      <c r="N34" s="23"/>
      <c r="O34" s="23"/>
      <c r="P34" s="23"/>
      <c r="Q34" s="23"/>
      <c r="R34" s="23"/>
      <c r="S34" s="23"/>
      <c r="T34" s="23"/>
      <c r="U34" s="23"/>
      <c r="V34" s="23"/>
      <c r="W34" s="23"/>
      <c r="X34" s="23"/>
      <c r="Y34" s="23"/>
      <c r="Z34" s="23"/>
      <c r="AA34" s="23"/>
      <c r="AB34" s="23"/>
      <c r="AC34" s="23"/>
      <c r="AD34" s="23"/>
      <c r="AE34" s="76"/>
      <c r="AF34" s="122"/>
    </row>
    <row r="35" spans="1:32" s="17" customFormat="1" ht="13.5" customHeight="1">
      <c r="A35" s="233"/>
      <c r="B35" s="238"/>
      <c r="C35" s="324"/>
      <c r="D35" s="268" t="s">
        <v>122</v>
      </c>
      <c r="E35" s="268"/>
      <c r="F35" s="268"/>
      <c r="G35" s="288"/>
      <c r="H35" s="22" t="s">
        <v>80</v>
      </c>
      <c r="I35" s="23"/>
      <c r="J35" s="23"/>
      <c r="K35" s="23"/>
      <c r="L35" s="23"/>
      <c r="M35" s="23"/>
      <c r="N35" s="23"/>
      <c r="O35" s="23"/>
      <c r="P35" s="23"/>
      <c r="Q35" s="23"/>
      <c r="R35" s="23"/>
      <c r="S35" s="23"/>
      <c r="T35" s="23"/>
      <c r="U35" s="23"/>
      <c r="V35" s="23"/>
      <c r="W35" s="23"/>
      <c r="X35" s="23"/>
      <c r="Y35" s="23"/>
      <c r="Z35" s="23"/>
      <c r="AA35" s="23"/>
      <c r="AB35" s="23"/>
      <c r="AC35" s="23"/>
      <c r="AD35" s="23"/>
      <c r="AE35" s="76"/>
      <c r="AF35" s="122"/>
    </row>
    <row r="36" spans="1:32" s="17" customFormat="1" ht="13.5" customHeight="1" thickBot="1">
      <c r="A36" s="233"/>
      <c r="B36" s="333" t="s">
        <v>65</v>
      </c>
      <c r="C36" s="334"/>
      <c r="D36" s="334"/>
      <c r="E36" s="334"/>
      <c r="F36" s="334"/>
      <c r="G36" s="335"/>
      <c r="H36" s="22"/>
      <c r="I36" s="23" t="s">
        <v>80</v>
      </c>
      <c r="J36" s="23"/>
      <c r="K36" s="23"/>
      <c r="L36" s="23"/>
      <c r="M36" s="23"/>
      <c r="N36" s="23"/>
      <c r="O36" s="23"/>
      <c r="P36" s="23"/>
      <c r="Q36" s="23"/>
      <c r="R36" s="23"/>
      <c r="S36" s="23"/>
      <c r="T36" s="23"/>
      <c r="U36" s="23"/>
      <c r="V36" s="23"/>
      <c r="W36" s="23"/>
      <c r="X36" s="23"/>
      <c r="Y36" s="23"/>
      <c r="Z36" s="23"/>
      <c r="AA36" s="23"/>
      <c r="AB36" s="23"/>
      <c r="AC36" s="23"/>
      <c r="AD36" s="23"/>
      <c r="AE36" s="23"/>
      <c r="AF36" s="24"/>
    </row>
    <row r="37" spans="1:32" s="17" customFormat="1" ht="13.5" customHeight="1">
      <c r="A37" s="226" t="s">
        <v>181</v>
      </c>
      <c r="B37" s="229" t="s">
        <v>180</v>
      </c>
      <c r="C37" s="230"/>
      <c r="D37" s="230"/>
      <c r="E37" s="230"/>
      <c r="F37" s="230"/>
      <c r="G37" s="230"/>
      <c r="H37" s="25"/>
      <c r="I37" s="26"/>
      <c r="J37" s="26"/>
      <c r="K37" s="26"/>
      <c r="L37" s="26"/>
      <c r="M37" s="26"/>
      <c r="N37" s="26"/>
      <c r="O37" s="26"/>
      <c r="P37" s="26"/>
      <c r="Q37" s="26"/>
      <c r="R37" s="26"/>
      <c r="S37" s="26"/>
      <c r="T37" s="26"/>
      <c r="U37" s="26"/>
      <c r="V37" s="26"/>
      <c r="W37" s="26"/>
      <c r="X37" s="26"/>
      <c r="Y37" s="26"/>
      <c r="Z37" s="26"/>
      <c r="AA37" s="26"/>
      <c r="AB37" s="26"/>
      <c r="AC37" s="26"/>
      <c r="AD37" s="26"/>
      <c r="AE37" s="26"/>
      <c r="AF37" s="27"/>
    </row>
    <row r="38" spans="1:32" s="17" customFormat="1" ht="13.5" customHeight="1">
      <c r="A38" s="227"/>
      <c r="B38" s="324"/>
      <c r="C38" s="216" t="s">
        <v>179</v>
      </c>
      <c r="D38" s="217"/>
      <c r="E38" s="217"/>
      <c r="F38" s="217"/>
      <c r="G38" s="217"/>
      <c r="H38" s="22"/>
      <c r="I38" s="23"/>
      <c r="J38" s="23"/>
      <c r="K38" s="23"/>
      <c r="L38" s="23"/>
      <c r="M38" s="23"/>
      <c r="N38" s="23"/>
      <c r="O38" s="23"/>
      <c r="P38" s="23"/>
      <c r="Q38" s="23"/>
      <c r="R38" s="23"/>
      <c r="S38" s="23"/>
      <c r="T38" s="23"/>
      <c r="U38" s="23"/>
      <c r="V38" s="23"/>
      <c r="W38" s="23"/>
      <c r="X38" s="23"/>
      <c r="Y38" s="23"/>
      <c r="Z38" s="23"/>
      <c r="AA38" s="23"/>
      <c r="AB38" s="23"/>
      <c r="AC38" s="23"/>
      <c r="AD38" s="23"/>
      <c r="AE38" s="87"/>
      <c r="AF38" s="121"/>
    </row>
    <row r="39" spans="1:32" s="17" customFormat="1" ht="13.5" customHeight="1">
      <c r="A39" s="227"/>
      <c r="B39" s="324"/>
      <c r="C39" s="284"/>
      <c r="D39" s="217" t="s">
        <v>68</v>
      </c>
      <c r="E39" s="217"/>
      <c r="F39" s="217"/>
      <c r="G39" s="273"/>
      <c r="H39" s="22"/>
      <c r="I39" s="23"/>
      <c r="J39" s="23"/>
      <c r="K39" s="23"/>
      <c r="L39" s="23"/>
      <c r="M39" s="23"/>
      <c r="N39" s="23"/>
      <c r="O39" s="23"/>
      <c r="P39" s="23"/>
      <c r="Q39" s="23"/>
      <c r="R39" s="23"/>
      <c r="S39" s="23"/>
      <c r="T39" s="23"/>
      <c r="U39" s="23"/>
      <c r="V39" s="23"/>
      <c r="W39" s="23"/>
      <c r="X39" s="23"/>
      <c r="Y39" s="23"/>
      <c r="Z39" s="23"/>
      <c r="AA39" s="23"/>
      <c r="AB39" s="23"/>
      <c r="AC39" s="23"/>
      <c r="AD39" s="23"/>
      <c r="AE39" s="87"/>
      <c r="AF39" s="121"/>
    </row>
    <row r="40" spans="1:32" s="17" customFormat="1" ht="13.5" customHeight="1">
      <c r="A40" s="227"/>
      <c r="B40" s="324"/>
      <c r="C40" s="285"/>
      <c r="D40" s="217" t="s">
        <v>178</v>
      </c>
      <c r="E40" s="217"/>
      <c r="F40" s="217"/>
      <c r="G40" s="273"/>
      <c r="H40" s="22"/>
      <c r="I40" s="23"/>
      <c r="J40" s="23"/>
      <c r="K40" s="23"/>
      <c r="L40" s="23"/>
      <c r="M40" s="23"/>
      <c r="N40" s="23"/>
      <c r="O40" s="23"/>
      <c r="P40" s="23"/>
      <c r="Q40" s="23"/>
      <c r="R40" s="23"/>
      <c r="S40" s="23"/>
      <c r="T40" s="23"/>
      <c r="U40" s="23"/>
      <c r="V40" s="23"/>
      <c r="W40" s="23"/>
      <c r="X40" s="23"/>
      <c r="Y40" s="23"/>
      <c r="Z40" s="23"/>
      <c r="AA40" s="23"/>
      <c r="AB40" s="23"/>
      <c r="AC40" s="23"/>
      <c r="AD40" s="23"/>
      <c r="AE40" s="87"/>
      <c r="AF40" s="121"/>
    </row>
    <row r="41" spans="1:32" s="17" customFormat="1" ht="13.5" customHeight="1">
      <c r="A41" s="227"/>
      <c r="B41" s="324"/>
      <c r="C41" s="285"/>
      <c r="D41" s="217" t="s">
        <v>177</v>
      </c>
      <c r="E41" s="217"/>
      <c r="F41" s="217"/>
      <c r="G41" s="273"/>
      <c r="H41" s="22"/>
      <c r="I41" s="23"/>
      <c r="J41" s="23"/>
      <c r="K41" s="23"/>
      <c r="L41" s="23"/>
      <c r="M41" s="23"/>
      <c r="N41" s="23"/>
      <c r="O41" s="23"/>
      <c r="P41" s="23"/>
      <c r="Q41" s="23"/>
      <c r="R41" s="23"/>
      <c r="S41" s="23"/>
      <c r="T41" s="23"/>
      <c r="U41" s="23"/>
      <c r="V41" s="23"/>
      <c r="W41" s="23"/>
      <c r="X41" s="23"/>
      <c r="Y41" s="23"/>
      <c r="Z41" s="23"/>
      <c r="AA41" s="23"/>
      <c r="AB41" s="23"/>
      <c r="AC41" s="23"/>
      <c r="AD41" s="23"/>
      <c r="AE41" s="87"/>
      <c r="AF41" s="121"/>
    </row>
    <row r="42" spans="1:32" s="17" customFormat="1" ht="13.5" customHeight="1">
      <c r="A42" s="227"/>
      <c r="B42" s="324"/>
      <c r="C42" s="285"/>
      <c r="D42" s="216" t="s">
        <v>176</v>
      </c>
      <c r="E42" s="217"/>
      <c r="F42" s="217"/>
      <c r="G42" s="273"/>
      <c r="H42" s="22"/>
      <c r="I42" s="23"/>
      <c r="J42" s="23"/>
      <c r="K42" s="23"/>
      <c r="L42" s="23"/>
      <c r="M42" s="23"/>
      <c r="N42" s="23"/>
      <c r="O42" s="23"/>
      <c r="P42" s="23"/>
      <c r="Q42" s="23"/>
      <c r="R42" s="23"/>
      <c r="S42" s="23"/>
      <c r="T42" s="23"/>
      <c r="U42" s="23"/>
      <c r="V42" s="23"/>
      <c r="W42" s="23"/>
      <c r="X42" s="23"/>
      <c r="Y42" s="23"/>
      <c r="Z42" s="23"/>
      <c r="AA42" s="23"/>
      <c r="AB42" s="23"/>
      <c r="AC42" s="23"/>
      <c r="AD42" s="23"/>
      <c r="AE42" s="87"/>
      <c r="AF42" s="121"/>
    </row>
    <row r="43" spans="1:32" s="17" customFormat="1" ht="13.5" customHeight="1">
      <c r="A43" s="227"/>
      <c r="B43" s="324"/>
      <c r="C43" s="285"/>
      <c r="D43" s="217" t="s">
        <v>70</v>
      </c>
      <c r="E43" s="217"/>
      <c r="F43" s="217"/>
      <c r="G43" s="273"/>
      <c r="H43" s="22" t="s">
        <v>80</v>
      </c>
      <c r="I43" s="23"/>
      <c r="J43" s="23"/>
      <c r="K43" s="23"/>
      <c r="L43" s="23"/>
      <c r="M43" s="23"/>
      <c r="N43" s="23"/>
      <c r="O43" s="23"/>
      <c r="P43" s="23"/>
      <c r="Q43" s="23"/>
      <c r="R43" s="23"/>
      <c r="S43" s="23"/>
      <c r="T43" s="23"/>
      <c r="U43" s="23"/>
      <c r="V43" s="23"/>
      <c r="W43" s="23"/>
      <c r="X43" s="23"/>
      <c r="Y43" s="23"/>
      <c r="Z43" s="23"/>
      <c r="AA43" s="23"/>
      <c r="AB43" s="23"/>
      <c r="AC43" s="23"/>
      <c r="AD43" s="23"/>
      <c r="AE43" s="87"/>
      <c r="AF43" s="121"/>
    </row>
    <row r="44" spans="1:32" s="17" customFormat="1" ht="13.5" customHeight="1">
      <c r="A44" s="227"/>
      <c r="B44" s="324"/>
      <c r="C44" s="286"/>
      <c r="D44" s="217" t="s">
        <v>224</v>
      </c>
      <c r="E44" s="217"/>
      <c r="F44" s="217"/>
      <c r="G44" s="273"/>
      <c r="H44" s="22"/>
      <c r="I44" s="23"/>
      <c r="J44" s="23"/>
      <c r="K44" s="23"/>
      <c r="L44" s="23"/>
      <c r="M44" s="23"/>
      <c r="N44" s="23"/>
      <c r="O44" s="23"/>
      <c r="P44" s="23"/>
      <c r="Q44" s="23"/>
      <c r="R44" s="23"/>
      <c r="S44" s="23"/>
      <c r="T44" s="23"/>
      <c r="U44" s="23"/>
      <c r="V44" s="23"/>
      <c r="W44" s="23"/>
      <c r="X44" s="23"/>
      <c r="Y44" s="23"/>
      <c r="Z44" s="23"/>
      <c r="AA44" s="23"/>
      <c r="AB44" s="23"/>
      <c r="AC44" s="23"/>
      <c r="AD44" s="23"/>
      <c r="AE44" s="87"/>
      <c r="AF44" s="121"/>
    </row>
    <row r="45" spans="1:32" s="17" customFormat="1" ht="13.5" customHeight="1">
      <c r="A45" s="227"/>
      <c r="B45" s="324"/>
      <c r="C45" s="216" t="s">
        <v>175</v>
      </c>
      <c r="D45" s="217"/>
      <c r="E45" s="217"/>
      <c r="F45" s="217"/>
      <c r="G45" s="273"/>
      <c r="H45" s="22"/>
      <c r="I45" s="23"/>
      <c r="J45" s="23"/>
      <c r="K45" s="23"/>
      <c r="L45" s="23"/>
      <c r="M45" s="23"/>
      <c r="N45" s="23"/>
      <c r="O45" s="23"/>
      <c r="P45" s="23"/>
      <c r="Q45" s="23"/>
      <c r="R45" s="23"/>
      <c r="S45" s="23"/>
      <c r="T45" s="23"/>
      <c r="U45" s="23"/>
      <c r="V45" s="23"/>
      <c r="W45" s="23"/>
      <c r="X45" s="23"/>
      <c r="Y45" s="23"/>
      <c r="Z45" s="23"/>
      <c r="AA45" s="23"/>
      <c r="AB45" s="23"/>
      <c r="AC45" s="23"/>
      <c r="AD45" s="23"/>
      <c r="AE45" s="87"/>
      <c r="AF45" s="121"/>
    </row>
    <row r="46" spans="1:32" s="17" customFormat="1" ht="13.5" customHeight="1">
      <c r="A46" s="227"/>
      <c r="B46" s="324"/>
      <c r="C46" s="284"/>
      <c r="D46" s="216" t="s">
        <v>174</v>
      </c>
      <c r="E46" s="217"/>
      <c r="F46" s="217"/>
      <c r="G46" s="273"/>
      <c r="H46" s="22"/>
      <c r="I46" s="23"/>
      <c r="J46" s="23"/>
      <c r="K46" s="23"/>
      <c r="L46" s="23"/>
      <c r="M46" s="23"/>
      <c r="N46" s="23"/>
      <c r="O46" s="23"/>
      <c r="P46" s="23"/>
      <c r="Q46" s="23"/>
      <c r="R46" s="23"/>
      <c r="S46" s="23"/>
      <c r="T46" s="23"/>
      <c r="U46" s="23"/>
      <c r="V46" s="23"/>
      <c r="W46" s="23"/>
      <c r="X46" s="23"/>
      <c r="Y46" s="23"/>
      <c r="Z46" s="23"/>
      <c r="AA46" s="23"/>
      <c r="AB46" s="23"/>
      <c r="AC46" s="23"/>
      <c r="AD46" s="23"/>
      <c r="AE46" s="87"/>
      <c r="AF46" s="121"/>
    </row>
    <row r="47" spans="1:32" s="17" customFormat="1" ht="13.5" customHeight="1">
      <c r="A47" s="227"/>
      <c r="B47" s="324"/>
      <c r="C47" s="285"/>
      <c r="D47" s="216" t="s">
        <v>173</v>
      </c>
      <c r="E47" s="217"/>
      <c r="F47" s="217"/>
      <c r="G47" s="273"/>
      <c r="H47" s="22"/>
      <c r="I47" s="23"/>
      <c r="J47" s="23"/>
      <c r="K47" s="23"/>
      <c r="L47" s="23"/>
      <c r="M47" s="23"/>
      <c r="N47" s="23"/>
      <c r="O47" s="23"/>
      <c r="P47" s="23"/>
      <c r="Q47" s="23"/>
      <c r="R47" s="23"/>
      <c r="S47" s="23"/>
      <c r="T47" s="23"/>
      <c r="U47" s="23"/>
      <c r="V47" s="23"/>
      <c r="W47" s="23"/>
      <c r="X47" s="23"/>
      <c r="Y47" s="23"/>
      <c r="Z47" s="23"/>
      <c r="AA47" s="23"/>
      <c r="AB47" s="23"/>
      <c r="AC47" s="23"/>
      <c r="AD47" s="23"/>
      <c r="AE47" s="87"/>
      <c r="AF47" s="121"/>
    </row>
    <row r="48" spans="1:32" s="17" customFormat="1" ht="13.5" customHeight="1">
      <c r="A48" s="227"/>
      <c r="B48" s="324"/>
      <c r="C48" s="285"/>
      <c r="D48" s="216" t="s">
        <v>172</v>
      </c>
      <c r="E48" s="217"/>
      <c r="F48" s="217"/>
      <c r="G48" s="273"/>
      <c r="H48" s="22"/>
      <c r="I48" s="23"/>
      <c r="J48" s="23"/>
      <c r="K48" s="23"/>
      <c r="L48" s="23"/>
      <c r="M48" s="23"/>
      <c r="N48" s="23"/>
      <c r="O48" s="23"/>
      <c r="P48" s="23"/>
      <c r="Q48" s="23"/>
      <c r="R48" s="23"/>
      <c r="S48" s="23"/>
      <c r="T48" s="23"/>
      <c r="U48" s="23"/>
      <c r="V48" s="23"/>
      <c r="W48" s="23"/>
      <c r="X48" s="23"/>
      <c r="Y48" s="23"/>
      <c r="Z48" s="23"/>
      <c r="AA48" s="23"/>
      <c r="AB48" s="23"/>
      <c r="AC48" s="23"/>
      <c r="AD48" s="23"/>
      <c r="AE48" s="87"/>
      <c r="AF48" s="121"/>
    </row>
    <row r="49" spans="1:32" s="17" customFormat="1" ht="13.5" customHeight="1">
      <c r="A49" s="227"/>
      <c r="B49" s="324"/>
      <c r="C49" s="285"/>
      <c r="D49" s="216" t="s">
        <v>171</v>
      </c>
      <c r="E49" s="217"/>
      <c r="F49" s="217"/>
      <c r="G49" s="273"/>
      <c r="H49" s="22"/>
      <c r="I49" s="23"/>
      <c r="J49" s="23"/>
      <c r="K49" s="23"/>
      <c r="L49" s="23"/>
      <c r="M49" s="23"/>
      <c r="N49" s="23"/>
      <c r="O49" s="23"/>
      <c r="P49" s="23"/>
      <c r="Q49" s="23"/>
      <c r="R49" s="23"/>
      <c r="S49" s="23"/>
      <c r="T49" s="23"/>
      <c r="U49" s="23"/>
      <c r="V49" s="23"/>
      <c r="W49" s="23"/>
      <c r="X49" s="23"/>
      <c r="Y49" s="23"/>
      <c r="Z49" s="23"/>
      <c r="AA49" s="23"/>
      <c r="AB49" s="23"/>
      <c r="AC49" s="23"/>
      <c r="AD49" s="23"/>
      <c r="AE49" s="87"/>
      <c r="AF49" s="121"/>
    </row>
    <row r="50" spans="1:32" s="17" customFormat="1" ht="13.5" customHeight="1">
      <c r="A50" s="227"/>
      <c r="B50" s="324"/>
      <c r="C50" s="285"/>
      <c r="D50" s="216" t="s">
        <v>170</v>
      </c>
      <c r="E50" s="217"/>
      <c r="F50" s="217"/>
      <c r="G50" s="273"/>
      <c r="H50" s="22"/>
      <c r="I50" s="23"/>
      <c r="J50" s="23"/>
      <c r="K50" s="23"/>
      <c r="L50" s="23"/>
      <c r="M50" s="23"/>
      <c r="N50" s="23"/>
      <c r="O50" s="23"/>
      <c r="P50" s="23"/>
      <c r="Q50" s="23"/>
      <c r="R50" s="23"/>
      <c r="S50" s="23"/>
      <c r="T50" s="23"/>
      <c r="U50" s="23"/>
      <c r="V50" s="23"/>
      <c r="W50" s="23"/>
      <c r="X50" s="23"/>
      <c r="Y50" s="23"/>
      <c r="Z50" s="23"/>
      <c r="AA50" s="23"/>
      <c r="AB50" s="23"/>
      <c r="AC50" s="23"/>
      <c r="AD50" s="23"/>
      <c r="AE50" s="87"/>
      <c r="AF50" s="121"/>
    </row>
    <row r="51" spans="1:32" s="17" customFormat="1" ht="13.5" customHeight="1">
      <c r="A51" s="227"/>
      <c r="B51" s="324"/>
      <c r="C51" s="285"/>
      <c r="D51" s="216" t="s">
        <v>169</v>
      </c>
      <c r="E51" s="217"/>
      <c r="F51" s="217"/>
      <c r="G51" s="273"/>
      <c r="H51" s="22"/>
      <c r="I51" s="23"/>
      <c r="J51" s="23"/>
      <c r="K51" s="23"/>
      <c r="L51" s="23"/>
      <c r="M51" s="23"/>
      <c r="N51" s="23"/>
      <c r="O51" s="23"/>
      <c r="P51" s="23"/>
      <c r="Q51" s="23"/>
      <c r="R51" s="23"/>
      <c r="S51" s="23"/>
      <c r="T51" s="23"/>
      <c r="U51" s="23"/>
      <c r="V51" s="23"/>
      <c r="W51" s="23"/>
      <c r="X51" s="23"/>
      <c r="Y51" s="23"/>
      <c r="Z51" s="23"/>
      <c r="AA51" s="23"/>
      <c r="AB51" s="23"/>
      <c r="AC51" s="23"/>
      <c r="AD51" s="23"/>
      <c r="AE51" s="87"/>
      <c r="AF51" s="121"/>
    </row>
    <row r="52" spans="1:32" s="17" customFormat="1" ht="13.5" customHeight="1">
      <c r="A52" s="227"/>
      <c r="B52" s="324"/>
      <c r="C52" s="285"/>
      <c r="D52" s="216" t="s">
        <v>168</v>
      </c>
      <c r="E52" s="217"/>
      <c r="F52" s="217"/>
      <c r="G52" s="273"/>
      <c r="H52" s="22"/>
      <c r="I52" s="23"/>
      <c r="J52" s="23"/>
      <c r="K52" s="23"/>
      <c r="L52" s="23"/>
      <c r="M52" s="23"/>
      <c r="N52" s="23"/>
      <c r="O52" s="23"/>
      <c r="P52" s="23"/>
      <c r="Q52" s="23"/>
      <c r="R52" s="23"/>
      <c r="S52" s="23"/>
      <c r="T52" s="23"/>
      <c r="U52" s="23"/>
      <c r="V52" s="23"/>
      <c r="W52" s="23"/>
      <c r="X52" s="23"/>
      <c r="Y52" s="23"/>
      <c r="Z52" s="23"/>
      <c r="AA52" s="23"/>
      <c r="AB52" s="23"/>
      <c r="AC52" s="23"/>
      <c r="AD52" s="23"/>
      <c r="AE52" s="87"/>
      <c r="AF52" s="121"/>
    </row>
    <row r="53" spans="1:32" s="17" customFormat="1" ht="13.5" customHeight="1">
      <c r="A53" s="227"/>
      <c r="B53" s="324"/>
      <c r="C53" s="285"/>
      <c r="D53" s="216" t="s">
        <v>167</v>
      </c>
      <c r="E53" s="217"/>
      <c r="F53" s="217"/>
      <c r="G53" s="273"/>
      <c r="H53" s="22"/>
      <c r="I53" s="23"/>
      <c r="J53" s="23"/>
      <c r="K53" s="23"/>
      <c r="L53" s="23"/>
      <c r="M53" s="23"/>
      <c r="N53" s="23"/>
      <c r="O53" s="23"/>
      <c r="P53" s="23"/>
      <c r="Q53" s="23"/>
      <c r="R53" s="23"/>
      <c r="S53" s="23"/>
      <c r="T53" s="23"/>
      <c r="U53" s="23"/>
      <c r="V53" s="23"/>
      <c r="W53" s="23"/>
      <c r="X53" s="23"/>
      <c r="Y53" s="23"/>
      <c r="Z53" s="23"/>
      <c r="AA53" s="23"/>
      <c r="AB53" s="23"/>
      <c r="AC53" s="23"/>
      <c r="AD53" s="23"/>
      <c r="AE53" s="87"/>
      <c r="AF53" s="121"/>
    </row>
    <row r="54" spans="1:32" s="17" customFormat="1" ht="13.5" customHeight="1">
      <c r="A54" s="227"/>
      <c r="B54" s="324"/>
      <c r="C54" s="285"/>
      <c r="D54" s="216" t="s">
        <v>166</v>
      </c>
      <c r="E54" s="217"/>
      <c r="F54" s="217"/>
      <c r="G54" s="273"/>
      <c r="H54" s="22"/>
      <c r="I54" s="23"/>
      <c r="J54" s="23"/>
      <c r="K54" s="23"/>
      <c r="L54" s="23"/>
      <c r="M54" s="23"/>
      <c r="N54" s="23"/>
      <c r="O54" s="23"/>
      <c r="P54" s="23"/>
      <c r="Q54" s="23"/>
      <c r="R54" s="23"/>
      <c r="S54" s="23"/>
      <c r="T54" s="23"/>
      <c r="U54" s="23"/>
      <c r="V54" s="23"/>
      <c r="W54" s="23"/>
      <c r="X54" s="23"/>
      <c r="Y54" s="23"/>
      <c r="Z54" s="23"/>
      <c r="AA54" s="23"/>
      <c r="AB54" s="23"/>
      <c r="AC54" s="23"/>
      <c r="AD54" s="23"/>
      <c r="AE54" s="87"/>
      <c r="AF54" s="121"/>
    </row>
    <row r="55" spans="1:32" s="17" customFormat="1" ht="13.5" customHeight="1">
      <c r="A55" s="227"/>
      <c r="B55" s="324"/>
      <c r="C55" s="285"/>
      <c r="D55" s="216" t="s">
        <v>165</v>
      </c>
      <c r="E55" s="217"/>
      <c r="F55" s="217"/>
      <c r="G55" s="273"/>
      <c r="H55" s="22"/>
      <c r="I55" s="23"/>
      <c r="J55" s="23"/>
      <c r="K55" s="23"/>
      <c r="L55" s="23"/>
      <c r="M55" s="23"/>
      <c r="N55" s="23"/>
      <c r="O55" s="23"/>
      <c r="P55" s="23"/>
      <c r="Q55" s="23"/>
      <c r="R55" s="23"/>
      <c r="S55" s="23"/>
      <c r="T55" s="23"/>
      <c r="U55" s="23"/>
      <c r="V55" s="23"/>
      <c r="W55" s="23"/>
      <c r="X55" s="23"/>
      <c r="Y55" s="23"/>
      <c r="Z55" s="23"/>
      <c r="AA55" s="23"/>
      <c r="AB55" s="23"/>
      <c r="AC55" s="23"/>
      <c r="AD55" s="23"/>
      <c r="AE55" s="87"/>
      <c r="AF55" s="121"/>
    </row>
    <row r="56" spans="1:32" s="17" customFormat="1" ht="13.5" customHeight="1">
      <c r="A56" s="227"/>
      <c r="B56" s="324"/>
      <c r="C56" s="285"/>
      <c r="D56" s="216" t="s">
        <v>164</v>
      </c>
      <c r="E56" s="217"/>
      <c r="F56" s="217"/>
      <c r="G56" s="273"/>
      <c r="H56" s="22"/>
      <c r="I56" s="23"/>
      <c r="J56" s="23"/>
      <c r="K56" s="23"/>
      <c r="L56" s="23"/>
      <c r="M56" s="23"/>
      <c r="N56" s="23"/>
      <c r="O56" s="23"/>
      <c r="P56" s="23"/>
      <c r="Q56" s="23"/>
      <c r="R56" s="23"/>
      <c r="S56" s="23"/>
      <c r="T56" s="23"/>
      <c r="U56" s="23"/>
      <c r="V56" s="23"/>
      <c r="W56" s="23"/>
      <c r="X56" s="23"/>
      <c r="Y56" s="23"/>
      <c r="Z56" s="23"/>
      <c r="AA56" s="23"/>
      <c r="AB56" s="23"/>
      <c r="AC56" s="23"/>
      <c r="AD56" s="23"/>
      <c r="AE56" s="87"/>
      <c r="AF56" s="121"/>
    </row>
    <row r="57" spans="1:32" s="17" customFormat="1" ht="13.5" customHeight="1">
      <c r="A57" s="227"/>
      <c r="B57" s="324"/>
      <c r="C57" s="286"/>
      <c r="D57" s="214" t="s">
        <v>163</v>
      </c>
      <c r="E57" s="215"/>
      <c r="F57" s="215"/>
      <c r="G57" s="312"/>
      <c r="H57" s="22"/>
      <c r="I57" s="23"/>
      <c r="J57" s="23"/>
      <c r="K57" s="23"/>
      <c r="L57" s="23"/>
      <c r="M57" s="23"/>
      <c r="N57" s="23"/>
      <c r="O57" s="23"/>
      <c r="P57" s="23"/>
      <c r="Q57" s="23"/>
      <c r="R57" s="23"/>
      <c r="S57" s="23"/>
      <c r="T57" s="23"/>
      <c r="U57" s="23"/>
      <c r="V57" s="23"/>
      <c r="W57" s="23"/>
      <c r="X57" s="23"/>
      <c r="Y57" s="23"/>
      <c r="Z57" s="23"/>
      <c r="AA57" s="23"/>
      <c r="AB57" s="23"/>
      <c r="AC57" s="23"/>
      <c r="AD57" s="23"/>
      <c r="AE57" s="87"/>
      <c r="AF57" s="121"/>
    </row>
    <row r="58" spans="1:32" s="17" customFormat="1" ht="13.5" customHeight="1">
      <c r="A58" s="227"/>
      <c r="B58" s="324"/>
      <c r="C58" s="216" t="s">
        <v>162</v>
      </c>
      <c r="D58" s="217"/>
      <c r="E58" s="217"/>
      <c r="F58" s="217"/>
      <c r="G58" s="27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row>
    <row r="59" spans="1:32" s="17" customFormat="1" ht="13.5" customHeight="1">
      <c r="A59" s="227"/>
      <c r="B59" s="324"/>
      <c r="C59" s="284"/>
      <c r="D59" s="217" t="s">
        <v>161</v>
      </c>
      <c r="E59" s="217"/>
      <c r="F59" s="217"/>
      <c r="G59" s="273"/>
      <c r="H59" s="22" t="s">
        <v>80</v>
      </c>
      <c r="I59" s="23"/>
      <c r="J59" s="23"/>
      <c r="K59" s="23"/>
      <c r="L59" s="23"/>
      <c r="M59" s="23"/>
      <c r="N59" s="23"/>
      <c r="O59" s="23"/>
      <c r="P59" s="23"/>
      <c r="Q59" s="23"/>
      <c r="R59" s="23"/>
      <c r="S59" s="23"/>
      <c r="T59" s="23"/>
      <c r="U59" s="23"/>
      <c r="V59" s="23"/>
      <c r="W59" s="23"/>
      <c r="X59" s="23"/>
      <c r="Y59" s="23"/>
      <c r="Z59" s="23"/>
      <c r="AA59" s="23"/>
      <c r="AB59" s="23"/>
      <c r="AC59" s="23"/>
      <c r="AD59" s="23"/>
      <c r="AE59" s="87"/>
      <c r="AF59" s="121"/>
    </row>
    <row r="60" spans="1:32" s="17" customFormat="1" ht="13.5" customHeight="1">
      <c r="A60" s="227"/>
      <c r="B60" s="324"/>
      <c r="C60" s="286"/>
      <c r="D60" s="217" t="s">
        <v>225</v>
      </c>
      <c r="E60" s="217"/>
      <c r="F60" s="217"/>
      <c r="G60" s="273"/>
      <c r="H60" s="22"/>
      <c r="I60" s="23"/>
      <c r="J60" s="23"/>
      <c r="K60" s="23"/>
      <c r="L60" s="23"/>
      <c r="M60" s="23"/>
      <c r="N60" s="23"/>
      <c r="O60" s="23"/>
      <c r="P60" s="23"/>
      <c r="Q60" s="23"/>
      <c r="R60" s="23"/>
      <c r="S60" s="23"/>
      <c r="T60" s="23"/>
      <c r="U60" s="23"/>
      <c r="V60" s="23"/>
      <c r="W60" s="23"/>
      <c r="X60" s="23"/>
      <c r="Y60" s="23"/>
      <c r="Z60" s="23"/>
      <c r="AA60" s="23"/>
      <c r="AB60" s="23"/>
      <c r="AC60" s="23"/>
      <c r="AD60" s="23"/>
      <c r="AE60" s="87"/>
      <c r="AF60" s="121"/>
    </row>
    <row r="61" spans="1:32" s="17" customFormat="1" ht="13.5" customHeight="1">
      <c r="A61" s="227"/>
      <c r="B61" s="324"/>
      <c r="C61" s="216" t="s">
        <v>160</v>
      </c>
      <c r="D61" s="217"/>
      <c r="E61" s="217"/>
      <c r="F61" s="217"/>
      <c r="G61" s="273"/>
      <c r="H61" s="22"/>
      <c r="I61" s="23"/>
      <c r="J61" s="23"/>
      <c r="K61" s="23"/>
      <c r="L61" s="23"/>
      <c r="M61" s="23"/>
      <c r="N61" s="23"/>
      <c r="O61" s="23"/>
      <c r="P61" s="23"/>
      <c r="Q61" s="23"/>
      <c r="R61" s="23"/>
      <c r="S61" s="23"/>
      <c r="T61" s="23"/>
      <c r="U61" s="23"/>
      <c r="V61" s="23"/>
      <c r="W61" s="23"/>
      <c r="X61" s="23"/>
      <c r="Y61" s="23"/>
      <c r="Z61" s="23"/>
      <c r="AA61" s="23"/>
      <c r="AB61" s="23"/>
      <c r="AC61" s="23"/>
      <c r="AD61" s="23"/>
      <c r="AE61" s="87"/>
      <c r="AF61" s="121"/>
    </row>
    <row r="62" spans="1:32" s="17" customFormat="1" ht="13.5" customHeight="1">
      <c r="A62" s="227"/>
      <c r="B62" s="324"/>
      <c r="C62" s="284"/>
      <c r="D62" s="217" t="s">
        <v>159</v>
      </c>
      <c r="E62" s="217"/>
      <c r="F62" s="217"/>
      <c r="G62" s="273"/>
      <c r="H62" s="22"/>
      <c r="I62" s="23"/>
      <c r="J62" s="23"/>
      <c r="K62" s="23"/>
      <c r="L62" s="23"/>
      <c r="M62" s="23"/>
      <c r="N62" s="23"/>
      <c r="O62" s="23"/>
      <c r="P62" s="23"/>
      <c r="Q62" s="23"/>
      <c r="R62" s="23"/>
      <c r="S62" s="23"/>
      <c r="T62" s="23"/>
      <c r="U62" s="23"/>
      <c r="V62" s="23"/>
      <c r="W62" s="23"/>
      <c r="X62" s="23"/>
      <c r="Y62" s="23"/>
      <c r="Z62" s="23"/>
      <c r="AA62" s="23"/>
      <c r="AB62" s="23"/>
      <c r="AC62" s="23"/>
      <c r="AD62" s="76"/>
      <c r="AE62" s="87"/>
      <c r="AF62" s="121"/>
    </row>
    <row r="63" spans="1:32" s="17" customFormat="1" ht="13.5" customHeight="1">
      <c r="A63" s="227"/>
      <c r="B63" s="324"/>
      <c r="C63" s="286"/>
      <c r="D63" s="217" t="s">
        <v>158</v>
      </c>
      <c r="E63" s="217"/>
      <c r="F63" s="217"/>
      <c r="G63" s="273"/>
      <c r="H63" s="22"/>
      <c r="I63" s="23"/>
      <c r="J63" s="23"/>
      <c r="K63" s="23"/>
      <c r="L63" s="23"/>
      <c r="M63" s="23"/>
      <c r="N63" s="23"/>
      <c r="O63" s="23"/>
      <c r="P63" s="23"/>
      <c r="Q63" s="23"/>
      <c r="R63" s="23"/>
      <c r="S63" s="23"/>
      <c r="T63" s="23"/>
      <c r="U63" s="23"/>
      <c r="V63" s="23"/>
      <c r="W63" s="23"/>
      <c r="X63" s="23"/>
      <c r="Y63" s="23"/>
      <c r="Z63" s="23"/>
      <c r="AA63" s="23"/>
      <c r="AB63" s="23"/>
      <c r="AC63" s="23"/>
      <c r="AD63" s="76"/>
      <c r="AE63" s="87"/>
      <c r="AF63" s="121"/>
    </row>
    <row r="64" spans="1:32" s="17" customFormat="1" ht="13.5" customHeight="1">
      <c r="A64" s="227"/>
      <c r="B64" s="324"/>
      <c r="C64" s="216" t="s">
        <v>157</v>
      </c>
      <c r="D64" s="217"/>
      <c r="E64" s="217"/>
      <c r="F64" s="217"/>
      <c r="G64" s="217"/>
      <c r="H64" s="22"/>
      <c r="I64" s="23"/>
      <c r="J64" s="23"/>
      <c r="K64" s="23"/>
      <c r="L64" s="23"/>
      <c r="M64" s="23"/>
      <c r="N64" s="23"/>
      <c r="O64" s="23"/>
      <c r="P64" s="23"/>
      <c r="Q64" s="23"/>
      <c r="R64" s="23"/>
      <c r="S64" s="23"/>
      <c r="T64" s="23"/>
      <c r="U64" s="23"/>
      <c r="V64" s="23"/>
      <c r="W64" s="23"/>
      <c r="X64" s="23"/>
      <c r="Y64" s="23"/>
      <c r="Z64" s="23"/>
      <c r="AA64" s="23"/>
      <c r="AB64" s="23"/>
      <c r="AC64" s="23"/>
      <c r="AD64" s="23"/>
      <c r="AE64" s="87"/>
      <c r="AF64" s="121"/>
    </row>
    <row r="65" spans="1:32" s="17" customFormat="1" ht="13.5" customHeight="1">
      <c r="A65" s="227"/>
      <c r="B65" s="324"/>
      <c r="C65" s="79"/>
      <c r="D65" s="217" t="s">
        <v>156</v>
      </c>
      <c r="E65" s="217"/>
      <c r="F65" s="217"/>
      <c r="G65" s="273"/>
      <c r="H65" s="22"/>
      <c r="I65" s="23"/>
      <c r="J65" s="23"/>
      <c r="K65" s="23"/>
      <c r="L65" s="23"/>
      <c r="M65" s="23"/>
      <c r="N65" s="23"/>
      <c r="O65" s="23"/>
      <c r="P65" s="23"/>
      <c r="Q65" s="23"/>
      <c r="R65" s="23"/>
      <c r="S65" s="23"/>
      <c r="T65" s="23"/>
      <c r="U65" s="23"/>
      <c r="V65" s="23"/>
      <c r="W65" s="23"/>
      <c r="X65" s="23"/>
      <c r="Y65" s="23"/>
      <c r="Z65" s="23"/>
      <c r="AA65" s="23"/>
      <c r="AB65" s="23"/>
      <c r="AC65" s="23"/>
      <c r="AD65" s="23"/>
      <c r="AE65" s="76"/>
      <c r="AF65" s="121"/>
    </row>
    <row r="66" spans="1:32" s="17" customFormat="1" ht="13.5" customHeight="1">
      <c r="A66" s="227"/>
      <c r="B66" s="324"/>
      <c r="C66" s="216" t="s">
        <v>137</v>
      </c>
      <c r="D66" s="217"/>
      <c r="E66" s="217"/>
      <c r="F66" s="217"/>
      <c r="G66" s="273"/>
      <c r="H66" s="22"/>
      <c r="I66" s="23"/>
      <c r="J66" s="23"/>
      <c r="K66" s="23"/>
      <c r="L66" s="23"/>
      <c r="M66" s="23"/>
      <c r="N66" s="23"/>
      <c r="O66" s="23"/>
      <c r="P66" s="23"/>
      <c r="Q66" s="23"/>
      <c r="R66" s="23"/>
      <c r="S66" s="23"/>
      <c r="T66" s="23"/>
      <c r="U66" s="23"/>
      <c r="V66" s="23"/>
      <c r="W66" s="23"/>
      <c r="X66" s="23"/>
      <c r="Y66" s="23"/>
      <c r="Z66" s="23"/>
      <c r="AA66" s="23"/>
      <c r="AB66" s="23"/>
      <c r="AC66" s="23"/>
      <c r="AD66" s="23"/>
      <c r="AE66" s="87"/>
      <c r="AF66" s="121"/>
    </row>
    <row r="67" spans="1:32" s="17" customFormat="1" ht="13.5" customHeight="1" thickBot="1">
      <c r="A67" s="227"/>
      <c r="B67" s="324"/>
      <c r="C67" s="104"/>
      <c r="D67" s="346" t="s">
        <v>110</v>
      </c>
      <c r="E67" s="347"/>
      <c r="F67" s="347"/>
      <c r="G67" s="348"/>
      <c r="H67" s="88"/>
      <c r="I67" s="23" t="s">
        <v>80</v>
      </c>
      <c r="J67" s="23"/>
      <c r="K67" s="23"/>
      <c r="L67" s="23"/>
      <c r="M67" s="23"/>
      <c r="N67" s="23"/>
      <c r="O67" s="23"/>
      <c r="P67" s="23"/>
      <c r="Q67" s="23"/>
      <c r="R67" s="23"/>
      <c r="S67" s="23"/>
      <c r="T67" s="23"/>
      <c r="U67" s="23"/>
      <c r="V67" s="23"/>
      <c r="W67" s="23"/>
      <c r="X67" s="23"/>
      <c r="Y67" s="23"/>
      <c r="Z67" s="23"/>
      <c r="AA67" s="23"/>
      <c r="AB67" s="23"/>
      <c r="AC67" s="23"/>
      <c r="AD67" s="23"/>
      <c r="AE67" s="87"/>
      <c r="AF67" s="121"/>
    </row>
    <row r="68" spans="1:32" s="17" customFormat="1" ht="24" customHeight="1">
      <c r="A68" s="218" t="s">
        <v>155</v>
      </c>
      <c r="B68" s="220"/>
      <c r="C68" s="221"/>
      <c r="D68" s="221"/>
      <c r="E68" s="221"/>
      <c r="F68" s="222"/>
      <c r="G68" s="35" t="s">
        <v>154</v>
      </c>
      <c r="H68" s="36" t="s">
        <v>81</v>
      </c>
      <c r="I68" s="37" t="s">
        <v>82</v>
      </c>
      <c r="J68" s="37"/>
      <c r="K68" s="37"/>
      <c r="L68" s="37"/>
      <c r="M68" s="37"/>
      <c r="N68" s="37"/>
      <c r="O68" s="37"/>
      <c r="P68" s="37"/>
      <c r="Q68" s="37"/>
      <c r="R68" s="37"/>
      <c r="S68" s="37"/>
      <c r="T68" s="37"/>
      <c r="U68" s="37"/>
      <c r="V68" s="37"/>
      <c r="W68" s="37"/>
      <c r="X68" s="37"/>
      <c r="Y68" s="37"/>
      <c r="Z68" s="37"/>
      <c r="AA68" s="37"/>
      <c r="AB68" s="37"/>
      <c r="AC68" s="37"/>
      <c r="AD68" s="37"/>
      <c r="AE68" s="37"/>
      <c r="AF68" s="38"/>
    </row>
    <row r="69" spans="1:32" s="17" customFormat="1" ht="27" customHeight="1">
      <c r="A69" s="219"/>
      <c r="B69" s="223"/>
      <c r="C69" s="224"/>
      <c r="D69" s="224"/>
      <c r="E69" s="224"/>
      <c r="F69" s="225"/>
      <c r="G69" s="39" t="s">
        <v>152</v>
      </c>
      <c r="H69" s="40"/>
      <c r="I69" s="74"/>
      <c r="J69" s="74"/>
      <c r="K69" s="74"/>
      <c r="L69" s="74"/>
      <c r="M69" s="74"/>
      <c r="N69" s="74"/>
      <c r="O69" s="74"/>
      <c r="P69" s="74"/>
      <c r="Q69" s="74"/>
      <c r="R69" s="74"/>
      <c r="S69" s="74"/>
      <c r="T69" s="74"/>
      <c r="U69" s="74"/>
      <c r="V69" s="74"/>
      <c r="W69" s="74"/>
      <c r="X69" s="74"/>
      <c r="Y69" s="74"/>
      <c r="Z69" s="74"/>
      <c r="AA69" s="74"/>
      <c r="AB69" s="74"/>
      <c r="AC69" s="74"/>
      <c r="AD69" s="74"/>
      <c r="AE69" s="74"/>
      <c r="AF69" s="42"/>
    </row>
    <row r="70" spans="1:32" s="17" customFormat="1" ht="27" customHeight="1">
      <c r="A70" s="219"/>
      <c r="B70" s="223"/>
      <c r="C70" s="224"/>
      <c r="D70" s="224"/>
      <c r="E70" s="224"/>
      <c r="F70" s="225"/>
      <c r="G70" s="39" t="s">
        <v>151</v>
      </c>
      <c r="H70" s="43"/>
      <c r="I70" s="44"/>
      <c r="J70" s="44"/>
      <c r="K70" s="44"/>
      <c r="L70" s="44"/>
      <c r="M70" s="44"/>
      <c r="N70" s="44"/>
      <c r="O70" s="44"/>
      <c r="P70" s="44"/>
      <c r="Q70" s="44"/>
      <c r="R70" s="44"/>
      <c r="S70" s="44"/>
      <c r="T70" s="44"/>
      <c r="U70" s="44"/>
      <c r="V70" s="44"/>
      <c r="W70" s="44"/>
      <c r="X70" s="44"/>
      <c r="Y70" s="44"/>
      <c r="Z70" s="44"/>
      <c r="AA70" s="44"/>
      <c r="AB70" s="44"/>
      <c r="AC70" s="44"/>
      <c r="AD70" s="44"/>
      <c r="AE70" s="44"/>
      <c r="AF70" s="45"/>
    </row>
    <row r="71" spans="1:32" s="17" customFormat="1" ht="24.75" customHeight="1">
      <c r="A71" s="219"/>
      <c r="B71" s="223"/>
      <c r="C71" s="224"/>
      <c r="D71" s="224"/>
      <c r="E71" s="224"/>
      <c r="F71" s="225"/>
      <c r="G71" s="46" t="s">
        <v>150</v>
      </c>
      <c r="H71" s="40"/>
      <c r="I71" s="74"/>
      <c r="J71" s="74"/>
      <c r="K71" s="74"/>
      <c r="L71" s="74"/>
      <c r="M71" s="74"/>
      <c r="N71" s="74"/>
      <c r="O71" s="74"/>
      <c r="P71" s="74"/>
      <c r="Q71" s="74"/>
      <c r="R71" s="74"/>
      <c r="S71" s="74"/>
      <c r="T71" s="74"/>
      <c r="U71" s="74"/>
      <c r="V71" s="74"/>
      <c r="W71" s="74"/>
      <c r="X71" s="74"/>
      <c r="Y71" s="74"/>
      <c r="Z71" s="74"/>
      <c r="AA71" s="74"/>
      <c r="AB71" s="74"/>
      <c r="AC71" s="74"/>
      <c r="AD71" s="74"/>
      <c r="AE71" s="74"/>
      <c r="AF71" s="42"/>
    </row>
    <row r="72" spans="1:32" s="17" customFormat="1" ht="24.75" customHeight="1">
      <c r="A72" s="258" t="s">
        <v>149</v>
      </c>
      <c r="B72" s="260" t="s">
        <v>148</v>
      </c>
      <c r="C72" s="260"/>
      <c r="D72" s="260"/>
      <c r="E72" s="260"/>
      <c r="F72" s="261" t="str">
        <f>GetBugSheetName()</f>
        <v>Edit_Logout_</v>
      </c>
      <c r="G72" s="262"/>
      <c r="H72" s="60"/>
      <c r="I72" s="53"/>
      <c r="J72" s="53"/>
      <c r="K72" s="53"/>
      <c r="L72" s="53"/>
      <c r="M72" s="53"/>
      <c r="N72" s="53"/>
      <c r="O72" s="53"/>
      <c r="P72" s="53"/>
      <c r="Q72" s="53"/>
      <c r="R72" s="53"/>
      <c r="S72" s="53"/>
      <c r="T72" s="53"/>
      <c r="U72" s="53"/>
      <c r="V72" s="53"/>
      <c r="W72" s="53"/>
      <c r="X72" s="53"/>
      <c r="Y72" s="53"/>
      <c r="Z72" s="53"/>
      <c r="AA72" s="53"/>
      <c r="AB72" s="53"/>
      <c r="AC72" s="53"/>
      <c r="AD72" s="53"/>
      <c r="AE72" s="53"/>
      <c r="AF72" s="54"/>
    </row>
    <row r="73" spans="1:32" s="17" customFormat="1" ht="36" customHeight="1" thickBot="1">
      <c r="A73" s="259"/>
      <c r="B73" s="246" t="s">
        <v>147</v>
      </c>
      <c r="C73" s="247"/>
      <c r="D73" s="247"/>
      <c r="E73" s="248"/>
      <c r="F73" s="246"/>
      <c r="G73" s="263"/>
      <c r="H73" s="61"/>
      <c r="I73" s="55"/>
      <c r="J73" s="55"/>
      <c r="K73" s="55"/>
      <c r="L73" s="55"/>
      <c r="M73" s="55"/>
      <c r="N73" s="55"/>
      <c r="O73" s="55"/>
      <c r="P73" s="55"/>
      <c r="Q73" s="55"/>
      <c r="R73" s="55"/>
      <c r="S73" s="55" t="str">
        <f t="shared" ref="S73:AF73" si="1">IF(S72="","",(SUM(LEN(S72)-LEN(SUBSTITUTE(S72,",","")))/LEN(",")) + 1 )</f>
        <v/>
      </c>
      <c r="T73" s="55" t="str">
        <f t="shared" si="1"/>
        <v/>
      </c>
      <c r="U73" s="55" t="str">
        <f t="shared" si="1"/>
        <v/>
      </c>
      <c r="V73" s="55" t="str">
        <f t="shared" si="1"/>
        <v/>
      </c>
      <c r="W73" s="55" t="str">
        <f t="shared" si="1"/>
        <v/>
      </c>
      <c r="X73" s="55" t="str">
        <f t="shared" si="1"/>
        <v/>
      </c>
      <c r="Y73" s="55" t="str">
        <f t="shared" si="1"/>
        <v/>
      </c>
      <c r="Z73" s="55" t="str">
        <f t="shared" si="1"/>
        <v/>
      </c>
      <c r="AA73" s="55" t="str">
        <f t="shared" si="1"/>
        <v/>
      </c>
      <c r="AB73" s="55" t="str">
        <f t="shared" si="1"/>
        <v/>
      </c>
      <c r="AC73" s="55" t="str">
        <f t="shared" si="1"/>
        <v/>
      </c>
      <c r="AD73" s="55" t="str">
        <f t="shared" si="1"/>
        <v/>
      </c>
      <c r="AE73" s="55" t="str">
        <f t="shared" si="1"/>
        <v/>
      </c>
      <c r="AF73" s="56" t="str">
        <f t="shared" si="1"/>
        <v/>
      </c>
    </row>
    <row r="74" spans="1:32" s="17" customFormat="1">
      <c r="H74" s="47"/>
      <c r="I74" s="47"/>
      <c r="J74" s="47"/>
      <c r="K74" s="47"/>
      <c r="L74" s="47"/>
      <c r="M74" s="47"/>
      <c r="N74" s="48"/>
      <c r="O74" s="49"/>
      <c r="P74" s="47"/>
      <c r="Q74" s="47"/>
      <c r="R74" s="47"/>
      <c r="S74" s="47"/>
      <c r="T74" s="47"/>
      <c r="U74" s="47"/>
      <c r="V74" s="47"/>
    </row>
  </sheetData>
  <sheetProtection insertRows="0"/>
  <protectedRanges>
    <protectedRange sqref="H68:AF72" name="Range3_1_1"/>
    <protectedRange sqref="H4:AF4 AD62:AD63 AE5:AF57 AE60:AF67" name="Range2_1_1"/>
    <protectedRange sqref="B1:O1 P2 T1 B2:E2" name="Range1_1_1"/>
    <protectedRange sqref="P2 AC2:AF2" name="Range1_1_1_1"/>
    <protectedRange sqref="B36 D36:G36" name="Range2_1_2"/>
    <protectedRange sqref="AC1:AF1" name="Range1_1_1_3"/>
    <protectedRange sqref="C61:G63 B61:B67 B37:C57 D37:G45 B58:G60" name="Range2_1_3_1"/>
    <protectedRange sqref="C64:G65" name="Range2_1_8"/>
    <protectedRange sqref="C66:G66" name="Range2_1_8_1"/>
    <protectedRange sqref="C67:G67" name="Range2_1_11"/>
    <protectedRange sqref="D46:G57" name="Range2_1_30_1"/>
    <protectedRange sqref="H64:AD67 H62:AC63 H5:AD57 H60:AD61 H58:AF58 H59:AC59" name="Range2_1_1_1_1"/>
  </protectedRanges>
  <mergeCells count="98">
    <mergeCell ref="AC2:AF2"/>
    <mergeCell ref="B1:E1"/>
    <mergeCell ref="F1:O1"/>
    <mergeCell ref="P1:S1"/>
    <mergeCell ref="T1:Z1"/>
    <mergeCell ref="AA1:AB1"/>
    <mergeCell ref="AC1:AF1"/>
    <mergeCell ref="B2:E2"/>
    <mergeCell ref="F2:H2"/>
    <mergeCell ref="I2:O2"/>
    <mergeCell ref="P2:Z2"/>
    <mergeCell ref="AA2:AB2"/>
    <mergeCell ref="A4:A36"/>
    <mergeCell ref="B4:G4"/>
    <mergeCell ref="B5:G5"/>
    <mergeCell ref="C6:G6"/>
    <mergeCell ref="C7:G7"/>
    <mergeCell ref="B8:B35"/>
    <mergeCell ref="C8:G8"/>
    <mergeCell ref="C9:G9"/>
    <mergeCell ref="C10:G10"/>
    <mergeCell ref="C11:G11"/>
    <mergeCell ref="C21:G21"/>
    <mergeCell ref="C12:G12"/>
    <mergeCell ref="C13:C14"/>
    <mergeCell ref="D13:G13"/>
    <mergeCell ref="D14:G14"/>
    <mergeCell ref="C15:G15"/>
    <mergeCell ref="C16:G16"/>
    <mergeCell ref="C17:C19"/>
    <mergeCell ref="D17:G17"/>
    <mergeCell ref="D18:G18"/>
    <mergeCell ref="D19:G19"/>
    <mergeCell ref="C20:G20"/>
    <mergeCell ref="C32:G32"/>
    <mergeCell ref="C22:C26"/>
    <mergeCell ref="D22:G22"/>
    <mergeCell ref="D23:G23"/>
    <mergeCell ref="D24:G24"/>
    <mergeCell ref="D25:G25"/>
    <mergeCell ref="D26:G26"/>
    <mergeCell ref="C27:G27"/>
    <mergeCell ref="C28:G28"/>
    <mergeCell ref="C29:G29"/>
    <mergeCell ref="C30:G30"/>
    <mergeCell ref="C31:G31"/>
    <mergeCell ref="D44:G44"/>
    <mergeCell ref="C33:G33"/>
    <mergeCell ref="C34:C35"/>
    <mergeCell ref="D34:G34"/>
    <mergeCell ref="D35:G35"/>
    <mergeCell ref="B36:G36"/>
    <mergeCell ref="B37:G37"/>
    <mergeCell ref="B38:B67"/>
    <mergeCell ref="C38:G38"/>
    <mergeCell ref="C39:C44"/>
    <mergeCell ref="D39:G39"/>
    <mergeCell ref="D40:G40"/>
    <mergeCell ref="D41:G41"/>
    <mergeCell ref="D42:G42"/>
    <mergeCell ref="D43:G43"/>
    <mergeCell ref="C45:G45"/>
    <mergeCell ref="C64:G64"/>
    <mergeCell ref="C46:C57"/>
    <mergeCell ref="D46:G46"/>
    <mergeCell ref="D47:G47"/>
    <mergeCell ref="D48:G48"/>
    <mergeCell ref="D49:G49"/>
    <mergeCell ref="D50:G50"/>
    <mergeCell ref="D51:G51"/>
    <mergeCell ref="D52:G52"/>
    <mergeCell ref="D53:G53"/>
    <mergeCell ref="D60:G60"/>
    <mergeCell ref="C61:G61"/>
    <mergeCell ref="C62:C63"/>
    <mergeCell ref="D62:G62"/>
    <mergeCell ref="D63:G63"/>
    <mergeCell ref="C66:G66"/>
    <mergeCell ref="D67:G67"/>
    <mergeCell ref="A68:A71"/>
    <mergeCell ref="B68:F68"/>
    <mergeCell ref="B69:F69"/>
    <mergeCell ref="B70:F70"/>
    <mergeCell ref="B71:F71"/>
    <mergeCell ref="A37:A67"/>
    <mergeCell ref="D65:G65"/>
    <mergeCell ref="D54:G54"/>
    <mergeCell ref="D55:G55"/>
    <mergeCell ref="D56:G56"/>
    <mergeCell ref="D57:G57"/>
    <mergeCell ref="C58:G58"/>
    <mergeCell ref="C59:C60"/>
    <mergeCell ref="D59:G59"/>
    <mergeCell ref="A72:A73"/>
    <mergeCell ref="B72:E72"/>
    <mergeCell ref="F72:G72"/>
    <mergeCell ref="B73:E73"/>
    <mergeCell ref="F73:G73"/>
  </mergeCells>
  <conditionalFormatting sqref="AD5:AD61 AD64:AD67 AE58:AF58 H5:AC67">
    <cfRule type="expression" dxfId="40" priority="1" stopIfTrue="1">
      <formula>H$71="NA"</formula>
    </cfRule>
    <cfRule type="expression" dxfId="39" priority="2" stopIfTrue="1">
      <formula>H$71="NG"</formula>
    </cfRule>
  </conditionalFormatting>
  <dataValidations count="10">
    <dataValidation type="list" allowBlank="1" showInputMessage="1" showErrorMessage="1" sqref="H68:AF68">
      <formula1>"N, A, B"</formula1>
    </dataValidation>
    <dataValidation type="list" allowBlank="1" showInputMessage="1" showErrorMessage="1" sqref="H71:AF71">
      <formula1>"OK, NG, NA, PT"</formula1>
    </dataValidation>
    <dataValidation allowBlank="1" showInputMessage="1" showErrorMessage="1" promptTitle="PCL sheet name" prompt=" " sqref="F72:G72"/>
    <dataValidation allowBlank="1" showInputMessage="1" showErrorMessage="1" promptTitle="Bug ID" prompt="Unique ID throughout the project._x000a_For every Bug found during Test as well as Re-Test, a new Bug ID needs to be entered here (as a comma seperated value)" sqref="B72:E72"/>
    <dataValidation allowBlank="1" showInputMessage="1" showErrorMessage="1" promptTitle="Test Result" prompt="OK : Result is OK      _x000a_NG : Result is not as expected_x000a_NA : Not Applicable      _x000a_PT : Testing Pending (as Data not available/ cannot be generated currently)" sqref="G71"/>
    <dataValidation allowBlank="1" showInputMessage="1" showErrorMessage="1" promptTitle="Testing Date" prompt="Date on which test was performed in yyyy/mm/dd format" sqref="G70"/>
    <dataValidation allowBlank="1" showInputMessage="1" showErrorMessage="1" promptTitle="Enter" prompt="Name of the person who performed the test" sqref="G69"/>
    <dataValidation allowBlank="1" showInputMessage="1" showErrorMessage="1" promptTitle="Condition Type" prompt="N : Normal _x000a_A : Abnormal _x000a_B : Boundary" sqref="G68"/>
    <dataValidation allowBlank="1" showInputMessage="1" showErrorMessage="1" promptTitle="Check points" prompt="that need / need not be executed" sqref="A37:A67"/>
    <dataValidation allowBlank="1" showInputMessage="1" showErrorMessage="1" promptTitle="Input conditions" prompt="that need to be checked." sqref="A4:A36"/>
  </dataValidations>
  <printOptions horizontalCentered="1"/>
  <pageMargins left="0.55118110236220474" right="0.46" top="0.98425196850393704" bottom="0.98425196850393704" header="0.51181102362204722" footer="0.51181102362204722"/>
  <pageSetup paperSize="9" scale="52"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4.xml><?xml version="1.0" encoding="utf-8"?>
<worksheet xmlns="http://schemas.openxmlformats.org/spreadsheetml/2006/main" xmlns:r="http://schemas.openxmlformats.org/officeDocument/2006/relationships">
  <sheetPr codeName="Sheet11"/>
  <dimension ref="A1:AF71"/>
  <sheetViews>
    <sheetView view="pageBreakPreview" zoomScale="85" zoomScaleNormal="70" zoomScaleSheetLayoutView="85" workbookViewId="0">
      <pane xSplit="7" ySplit="3" topLeftCell="H55" activePane="bottomRight" state="frozen"/>
      <selection activeCell="B27" sqref="B27:G27"/>
      <selection pane="topRight" activeCell="B27" sqref="B27:G27"/>
      <selection pane="bottomLeft" activeCell="B27" sqref="B27:G27"/>
      <selection pane="bottomRight" activeCell="D34" sqref="D34:G34"/>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226</v>
      </c>
      <c r="C2" s="244"/>
      <c r="D2" s="244"/>
      <c r="E2" s="245"/>
      <c r="F2" s="243" t="s">
        <v>227</v>
      </c>
      <c r="G2" s="244"/>
      <c r="H2" s="245"/>
      <c r="I2" s="246" t="s">
        <v>84</v>
      </c>
      <c r="J2" s="247"/>
      <c r="K2" s="247"/>
      <c r="L2" s="247"/>
      <c r="M2" s="247"/>
      <c r="N2" s="247"/>
      <c r="O2" s="248"/>
      <c r="P2" s="243"/>
      <c r="Q2" s="244"/>
      <c r="R2" s="244"/>
      <c r="S2" s="244"/>
      <c r="T2" s="244"/>
      <c r="U2" s="244"/>
      <c r="V2" s="244"/>
      <c r="W2" s="244"/>
      <c r="X2" s="244"/>
      <c r="Y2" s="244"/>
      <c r="Z2" s="245"/>
      <c r="AA2" s="255" t="s">
        <v>228</v>
      </c>
      <c r="AB2" s="256"/>
      <c r="AC2" s="243" t="s">
        <v>298</v>
      </c>
      <c r="AD2" s="244"/>
      <c r="AE2" s="244"/>
      <c r="AF2" s="257"/>
    </row>
    <row r="3" spans="1:32" ht="37.5" customHeight="1" thickBot="1">
      <c r="A3" s="66" t="s">
        <v>209</v>
      </c>
      <c r="B3" s="10"/>
      <c r="C3" s="10"/>
      <c r="D3" s="10"/>
      <c r="E3" s="10"/>
      <c r="F3" s="10"/>
      <c r="G3" s="65" t="s">
        <v>208</v>
      </c>
      <c r="H3" s="11">
        <f>IF(COUNTA(H4:H65)&gt;0,1,"")</f>
        <v>1</v>
      </c>
      <c r="I3" s="12">
        <f t="shared" ref="I3:AF3" si="0">IF(COUNTA(I4:I65)&gt;0,IF(H3&gt;0,H3+1,""),"")</f>
        <v>2</v>
      </c>
      <c r="J3" s="12">
        <f t="shared" si="0"/>
        <v>3</v>
      </c>
      <c r="K3" s="12">
        <f t="shared" si="0"/>
        <v>4</v>
      </c>
      <c r="L3" s="12">
        <f t="shared" si="0"/>
        <v>5</v>
      </c>
      <c r="M3" s="12">
        <f t="shared" si="0"/>
        <v>6</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207</v>
      </c>
      <c r="B4" s="323" t="s">
        <v>230</v>
      </c>
      <c r="C4" s="353"/>
      <c r="D4" s="353"/>
      <c r="E4" s="353"/>
      <c r="F4" s="353"/>
      <c r="G4" s="354"/>
      <c r="H4" s="12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84</v>
      </c>
      <c r="C5" s="315"/>
      <c r="D5" s="315"/>
      <c r="E5" s="315"/>
      <c r="F5" s="315"/>
      <c r="G5" s="316"/>
      <c r="H5" s="125" t="s">
        <v>231</v>
      </c>
      <c r="I5" s="19" t="s">
        <v>231</v>
      </c>
      <c r="J5" s="19" t="s">
        <v>231</v>
      </c>
      <c r="K5" s="19" t="s">
        <v>231</v>
      </c>
      <c r="L5" s="19" t="s">
        <v>231</v>
      </c>
      <c r="M5" s="19" t="s">
        <v>231</v>
      </c>
      <c r="N5" s="19"/>
      <c r="O5" s="19"/>
      <c r="P5" s="19"/>
      <c r="Q5" s="19"/>
      <c r="R5" s="19"/>
      <c r="S5" s="19"/>
      <c r="T5" s="19"/>
      <c r="U5" s="19"/>
      <c r="V5" s="19"/>
      <c r="W5" s="19"/>
      <c r="X5" s="19"/>
      <c r="Y5" s="19"/>
      <c r="Z5" s="19"/>
      <c r="AA5" s="19"/>
      <c r="AB5" s="19"/>
      <c r="AC5" s="19"/>
      <c r="AD5" s="19"/>
      <c r="AE5" s="19"/>
      <c r="AF5" s="19"/>
    </row>
    <row r="6" spans="1:32" s="17" customFormat="1" ht="13.5" customHeight="1">
      <c r="A6" s="233"/>
      <c r="B6" s="277"/>
      <c r="C6" s="268" t="s">
        <v>232</v>
      </c>
      <c r="D6" s="268"/>
      <c r="E6" s="268"/>
      <c r="F6" s="268"/>
      <c r="G6" s="288"/>
      <c r="H6" s="125"/>
      <c r="I6" s="19"/>
      <c r="J6" s="19"/>
      <c r="K6" s="19"/>
      <c r="L6" s="19"/>
      <c r="M6" s="19"/>
      <c r="N6" s="19"/>
      <c r="O6" s="19"/>
      <c r="P6" s="19"/>
      <c r="Q6" s="19"/>
      <c r="R6" s="19"/>
      <c r="S6" s="19"/>
      <c r="T6" s="19"/>
      <c r="U6" s="19"/>
      <c r="V6" s="19"/>
      <c r="W6" s="19"/>
      <c r="X6" s="19"/>
      <c r="Y6" s="19"/>
      <c r="Z6" s="19"/>
      <c r="AA6" s="19"/>
      <c r="AB6" s="19"/>
      <c r="AC6" s="19"/>
      <c r="AD6" s="19"/>
      <c r="AE6" s="19"/>
      <c r="AF6" s="20"/>
    </row>
    <row r="7" spans="1:32" s="17" customFormat="1" ht="13.5" customHeight="1">
      <c r="A7" s="233"/>
      <c r="B7" s="238"/>
      <c r="C7" s="76"/>
      <c r="D7" s="126"/>
      <c r="E7" s="234" t="s">
        <v>233</v>
      </c>
      <c r="F7" s="237"/>
      <c r="G7" s="304"/>
      <c r="H7" s="125" t="s">
        <v>231</v>
      </c>
      <c r="I7" s="19" t="s">
        <v>231</v>
      </c>
      <c r="J7" s="19" t="s">
        <v>231</v>
      </c>
      <c r="K7" s="19" t="s">
        <v>231</v>
      </c>
      <c r="L7" s="19" t="s">
        <v>231</v>
      </c>
      <c r="M7" s="19"/>
      <c r="N7" s="19"/>
      <c r="O7" s="19"/>
      <c r="P7" s="19"/>
      <c r="Q7" s="19"/>
      <c r="R7" s="19"/>
      <c r="S7" s="19"/>
      <c r="T7" s="19"/>
      <c r="U7" s="19"/>
      <c r="V7" s="19"/>
      <c r="W7" s="19"/>
      <c r="X7" s="19"/>
      <c r="Y7" s="19"/>
      <c r="Z7" s="19"/>
      <c r="AA7" s="19"/>
      <c r="AB7" s="19"/>
      <c r="AC7" s="19"/>
      <c r="AD7" s="19"/>
      <c r="AE7" s="19"/>
      <c r="AF7" s="19"/>
    </row>
    <row r="8" spans="1:32" s="17" customFormat="1" ht="13.5" customHeight="1">
      <c r="A8" s="233"/>
      <c r="B8" s="238"/>
      <c r="C8" s="234" t="s">
        <v>58</v>
      </c>
      <c r="D8" s="237"/>
      <c r="E8" s="237"/>
      <c r="F8" s="237"/>
      <c r="G8" s="304"/>
      <c r="H8" s="125"/>
      <c r="I8" s="19"/>
      <c r="J8" s="19"/>
      <c r="K8" s="19"/>
      <c r="L8" s="19"/>
      <c r="M8" s="19"/>
      <c r="N8" s="19"/>
      <c r="O8" s="19"/>
      <c r="P8" s="19"/>
      <c r="Q8" s="19"/>
      <c r="R8" s="19"/>
      <c r="S8" s="19"/>
      <c r="T8" s="19"/>
      <c r="U8" s="19"/>
      <c r="V8" s="19"/>
      <c r="W8" s="19"/>
      <c r="X8" s="19"/>
      <c r="Y8" s="19"/>
      <c r="Z8" s="19"/>
      <c r="AA8" s="19"/>
      <c r="AB8" s="19"/>
      <c r="AC8" s="19"/>
      <c r="AD8" s="19"/>
      <c r="AE8" s="19"/>
      <c r="AF8" s="20"/>
    </row>
    <row r="9" spans="1:32" s="17" customFormat="1" ht="13.5" customHeight="1">
      <c r="A9" s="233"/>
      <c r="B9" s="238"/>
      <c r="C9" s="76"/>
      <c r="D9" s="126"/>
      <c r="E9" s="363" t="s">
        <v>234</v>
      </c>
      <c r="F9" s="268"/>
      <c r="G9" s="288"/>
      <c r="H9" s="125" t="s">
        <v>80</v>
      </c>
      <c r="I9" s="19" t="s">
        <v>80</v>
      </c>
      <c r="J9" s="19" t="s">
        <v>80</v>
      </c>
      <c r="K9" s="19" t="s">
        <v>80</v>
      </c>
      <c r="L9" s="19" t="s">
        <v>231</v>
      </c>
      <c r="M9" s="19"/>
      <c r="N9" s="19"/>
      <c r="O9" s="19"/>
      <c r="P9" s="19"/>
      <c r="Q9" s="19"/>
      <c r="R9" s="19"/>
      <c r="S9" s="19"/>
      <c r="T9" s="19"/>
      <c r="U9" s="19"/>
      <c r="V9" s="19"/>
      <c r="W9" s="19"/>
      <c r="X9" s="19"/>
      <c r="Y9" s="19"/>
      <c r="Z9" s="19"/>
      <c r="AA9" s="19"/>
      <c r="AB9" s="19"/>
      <c r="AC9" s="19"/>
      <c r="AD9" s="19"/>
      <c r="AE9" s="19"/>
      <c r="AF9" s="19"/>
    </row>
    <row r="10" spans="1:32" s="17" customFormat="1" ht="13.5" customHeight="1">
      <c r="A10" s="233"/>
      <c r="B10" s="238"/>
      <c r="C10" s="268" t="s">
        <v>235</v>
      </c>
      <c r="D10" s="268"/>
      <c r="E10" s="268"/>
      <c r="F10" s="268"/>
      <c r="G10" s="288"/>
      <c r="H10" s="125"/>
      <c r="I10" s="19"/>
      <c r="J10" s="19"/>
      <c r="K10" s="19"/>
      <c r="L10" s="19"/>
      <c r="M10" s="19"/>
      <c r="N10" s="19"/>
      <c r="O10" s="19"/>
      <c r="P10" s="19"/>
      <c r="Q10" s="19"/>
      <c r="R10" s="19"/>
      <c r="S10" s="19"/>
      <c r="T10" s="19"/>
      <c r="U10" s="19"/>
      <c r="V10" s="19"/>
      <c r="W10" s="19"/>
      <c r="X10" s="19"/>
      <c r="Y10" s="19"/>
      <c r="Z10" s="19"/>
      <c r="AA10" s="19"/>
      <c r="AB10" s="19"/>
      <c r="AC10" s="19"/>
      <c r="AD10" s="19"/>
      <c r="AE10" s="19"/>
      <c r="AF10" s="20"/>
    </row>
    <row r="11" spans="1:32" s="17" customFormat="1" ht="13.5" customHeight="1">
      <c r="A11" s="233"/>
      <c r="B11" s="238"/>
      <c r="C11" s="324"/>
      <c r="D11" s="234" t="s">
        <v>236</v>
      </c>
      <c r="E11" s="237"/>
      <c r="F11" s="237"/>
      <c r="G11" s="304"/>
      <c r="H11" s="125"/>
      <c r="I11" s="19"/>
      <c r="K11" s="19" t="s">
        <v>231</v>
      </c>
      <c r="L11" s="19" t="s">
        <v>231</v>
      </c>
      <c r="M11" s="19"/>
      <c r="N11" s="19"/>
      <c r="O11" s="19"/>
      <c r="P11" s="19"/>
      <c r="Q11" s="19"/>
      <c r="R11" s="19"/>
      <c r="S11" s="19"/>
      <c r="T11" s="19"/>
      <c r="U11" s="19"/>
      <c r="V11" s="19"/>
      <c r="W11" s="19"/>
      <c r="X11" s="19"/>
      <c r="Y11" s="19"/>
      <c r="AA11" s="19"/>
      <c r="AB11" s="19"/>
      <c r="AC11" s="19"/>
      <c r="AD11" s="19"/>
      <c r="AE11" s="19"/>
      <c r="AF11" s="20"/>
    </row>
    <row r="12" spans="1:32" s="17" customFormat="1" ht="13.5" customHeight="1">
      <c r="A12" s="233"/>
      <c r="B12" s="238"/>
      <c r="C12" s="324"/>
      <c r="D12" s="268" t="s">
        <v>237</v>
      </c>
      <c r="E12" s="268"/>
      <c r="F12" s="268"/>
      <c r="G12" s="288"/>
      <c r="H12" s="125" t="s">
        <v>231</v>
      </c>
      <c r="I12" s="19" t="s">
        <v>231</v>
      </c>
      <c r="J12" s="19" t="s">
        <v>231</v>
      </c>
      <c r="K12" s="19"/>
      <c r="L12" s="19"/>
      <c r="M12" s="19"/>
      <c r="N12" s="19"/>
      <c r="O12" s="19"/>
      <c r="P12" s="19"/>
      <c r="Q12" s="19"/>
      <c r="R12" s="19"/>
      <c r="S12" s="19"/>
      <c r="T12" s="19"/>
      <c r="U12" s="19"/>
      <c r="V12" s="19"/>
      <c r="W12" s="19"/>
      <c r="X12" s="19"/>
      <c r="Y12" s="19"/>
      <c r="Z12" s="19"/>
      <c r="AA12" s="19"/>
      <c r="AB12" s="19"/>
      <c r="AC12" s="19"/>
      <c r="AD12" s="19"/>
      <c r="AE12" s="19"/>
      <c r="AF12" s="19"/>
    </row>
    <row r="13" spans="1:32" s="17" customFormat="1" ht="13.5" customHeight="1">
      <c r="A13" s="233"/>
      <c r="B13" s="238"/>
      <c r="C13" s="268" t="s">
        <v>238</v>
      </c>
      <c r="D13" s="268"/>
      <c r="E13" s="268"/>
      <c r="F13" s="268"/>
      <c r="G13" s="288"/>
      <c r="H13" s="125"/>
      <c r="I13" s="19"/>
      <c r="J13" s="19"/>
      <c r="K13" s="19"/>
      <c r="L13" s="19"/>
      <c r="M13" s="19"/>
      <c r="N13" s="19"/>
      <c r="O13" s="19"/>
      <c r="P13" s="19"/>
      <c r="Q13" s="19"/>
      <c r="R13" s="19"/>
      <c r="S13" s="19"/>
      <c r="T13" s="19"/>
      <c r="U13" s="19"/>
      <c r="V13" s="19"/>
      <c r="W13" s="19"/>
      <c r="X13" s="19"/>
      <c r="Y13" s="19"/>
      <c r="Z13" s="19"/>
      <c r="AA13" s="19"/>
      <c r="AB13" s="19"/>
      <c r="AC13" s="19"/>
      <c r="AD13" s="19"/>
      <c r="AE13" s="19"/>
      <c r="AF13" s="20"/>
    </row>
    <row r="14" spans="1:32" s="17" customFormat="1" ht="13.5" customHeight="1">
      <c r="A14" s="233"/>
      <c r="B14" s="238"/>
      <c r="C14" s="19"/>
      <c r="D14" s="101"/>
      <c r="E14" s="268" t="s">
        <v>239</v>
      </c>
      <c r="F14" s="268"/>
      <c r="G14" s="288"/>
      <c r="H14" s="125" t="s">
        <v>231</v>
      </c>
      <c r="I14" s="19" t="s">
        <v>231</v>
      </c>
      <c r="J14" s="19" t="s">
        <v>231</v>
      </c>
      <c r="K14" s="19" t="s">
        <v>231</v>
      </c>
      <c r="L14" s="19" t="s">
        <v>231</v>
      </c>
      <c r="M14" s="19"/>
      <c r="N14" s="19"/>
      <c r="O14" s="19"/>
      <c r="P14" s="19"/>
      <c r="Q14" s="19"/>
      <c r="R14" s="19"/>
      <c r="S14" s="19"/>
      <c r="T14" s="19"/>
      <c r="U14" s="19"/>
      <c r="V14" s="19"/>
      <c r="W14" s="19"/>
      <c r="X14" s="19"/>
      <c r="Y14" s="19"/>
      <c r="Z14" s="19"/>
      <c r="AA14" s="19"/>
      <c r="AB14" s="19"/>
      <c r="AC14" s="19"/>
      <c r="AD14" s="19"/>
      <c r="AE14" s="19"/>
      <c r="AF14" s="19"/>
    </row>
    <row r="15" spans="1:32" s="17" customFormat="1" ht="13.5" customHeight="1">
      <c r="A15" s="233"/>
      <c r="B15" s="238"/>
      <c r="C15" s="268" t="s">
        <v>240</v>
      </c>
      <c r="D15" s="268"/>
      <c r="E15" s="268"/>
      <c r="F15" s="268"/>
      <c r="G15" s="288"/>
      <c r="H15" s="125"/>
      <c r="I15" s="19"/>
      <c r="J15" s="19"/>
      <c r="K15" s="19"/>
      <c r="L15" s="19"/>
      <c r="M15" s="19"/>
      <c r="N15" s="19"/>
      <c r="O15" s="19"/>
      <c r="P15" s="19"/>
      <c r="Q15" s="19"/>
      <c r="R15" s="19"/>
      <c r="S15" s="19"/>
      <c r="T15" s="19"/>
      <c r="U15" s="19"/>
      <c r="V15" s="19"/>
      <c r="W15" s="19"/>
      <c r="X15" s="19"/>
      <c r="Y15" s="19"/>
      <c r="Z15" s="19"/>
      <c r="AA15" s="19"/>
      <c r="AB15" s="19"/>
      <c r="AC15" s="19"/>
      <c r="AD15" s="19"/>
      <c r="AE15" s="19"/>
      <c r="AF15" s="20"/>
    </row>
    <row r="16" spans="1:32" s="17" customFormat="1" ht="13.5" customHeight="1">
      <c r="A16" s="233"/>
      <c r="B16" s="238"/>
      <c r="C16" s="324"/>
      <c r="D16" s="260"/>
      <c r="E16" s="360" t="s">
        <v>72</v>
      </c>
      <c r="F16" s="360"/>
      <c r="G16" s="361"/>
      <c r="H16" s="125"/>
      <c r="I16" s="19"/>
      <c r="J16" s="19"/>
      <c r="K16" s="19" t="s">
        <v>231</v>
      </c>
      <c r="L16" s="19"/>
      <c r="M16" s="19"/>
      <c r="N16" s="19"/>
      <c r="O16" s="19"/>
      <c r="P16" s="19"/>
      <c r="Q16" s="19"/>
      <c r="R16" s="19"/>
      <c r="S16" s="19"/>
      <c r="T16" s="19"/>
      <c r="U16" s="19"/>
      <c r="V16" s="19"/>
      <c r="W16" s="19"/>
      <c r="X16" s="19"/>
      <c r="Y16" s="19"/>
      <c r="Z16" s="19"/>
      <c r="AA16" s="19"/>
      <c r="AB16" s="19"/>
      <c r="AC16" s="19"/>
      <c r="AD16" s="19"/>
      <c r="AE16" s="19"/>
      <c r="AF16" s="20"/>
    </row>
    <row r="17" spans="1:32" s="17" customFormat="1" ht="13.5" customHeight="1">
      <c r="A17" s="233"/>
      <c r="B17" s="238"/>
      <c r="C17" s="324"/>
      <c r="D17" s="260"/>
      <c r="E17" s="268" t="s">
        <v>241</v>
      </c>
      <c r="F17" s="268"/>
      <c r="G17" s="288"/>
      <c r="H17" s="125" t="s">
        <v>231</v>
      </c>
      <c r="I17" s="19" t="s">
        <v>231</v>
      </c>
      <c r="J17" s="19" t="s">
        <v>231</v>
      </c>
      <c r="K17" s="19"/>
      <c r="L17" s="19" t="s">
        <v>231</v>
      </c>
      <c r="M17" s="19"/>
      <c r="N17" s="19"/>
      <c r="O17" s="19"/>
      <c r="P17" s="19"/>
      <c r="Q17" s="19"/>
      <c r="R17" s="19"/>
      <c r="S17" s="19"/>
      <c r="T17" s="19"/>
      <c r="U17" s="19"/>
      <c r="V17" s="19"/>
      <c r="W17" s="19"/>
      <c r="X17" s="19"/>
      <c r="Y17" s="19"/>
      <c r="Z17" s="19"/>
      <c r="AA17" s="19"/>
      <c r="AB17" s="19"/>
      <c r="AC17" s="19"/>
      <c r="AD17" s="19"/>
      <c r="AE17" s="19"/>
      <c r="AF17" s="19"/>
    </row>
    <row r="18" spans="1:32" s="17" customFormat="1" ht="13.5" customHeight="1">
      <c r="A18" s="233"/>
      <c r="B18" s="238"/>
      <c r="C18" s="268" t="s">
        <v>242</v>
      </c>
      <c r="D18" s="268"/>
      <c r="E18" s="268"/>
      <c r="F18" s="268"/>
      <c r="G18" s="288"/>
      <c r="H18" s="125"/>
      <c r="I18" s="19"/>
      <c r="J18" s="19"/>
      <c r="K18" s="19"/>
      <c r="L18" s="19"/>
      <c r="M18" s="19"/>
      <c r="N18" s="19"/>
      <c r="O18" s="19"/>
      <c r="P18" s="19"/>
      <c r="Q18" s="19"/>
      <c r="R18" s="19"/>
      <c r="S18" s="19"/>
      <c r="T18" s="19"/>
      <c r="U18" s="19"/>
      <c r="V18" s="19"/>
      <c r="W18" s="19"/>
      <c r="X18" s="19"/>
      <c r="Y18" s="19"/>
      <c r="Z18" s="19"/>
      <c r="AA18" s="19"/>
      <c r="AB18" s="19"/>
      <c r="AC18" s="19"/>
      <c r="AD18" s="19"/>
      <c r="AE18" s="19"/>
      <c r="AF18" s="20"/>
    </row>
    <row r="19" spans="1:32" s="17" customFormat="1" ht="13.5" customHeight="1">
      <c r="A19" s="233"/>
      <c r="B19" s="238"/>
      <c r="C19" s="19"/>
      <c r="D19" s="76"/>
      <c r="E19" s="360" t="s">
        <v>243</v>
      </c>
      <c r="F19" s="360"/>
      <c r="G19" s="361"/>
      <c r="H19" s="125" t="s">
        <v>231</v>
      </c>
      <c r="I19" s="19" t="s">
        <v>231</v>
      </c>
      <c r="J19" s="19" t="s">
        <v>231</v>
      </c>
      <c r="K19" s="19" t="s">
        <v>231</v>
      </c>
      <c r="L19" s="19" t="s">
        <v>80</v>
      </c>
      <c r="M19" s="19"/>
      <c r="N19" s="19"/>
      <c r="O19" s="19"/>
      <c r="P19" s="19"/>
      <c r="Q19" s="19"/>
      <c r="R19" s="19"/>
      <c r="S19" s="19"/>
      <c r="T19" s="19"/>
      <c r="U19" s="19"/>
      <c r="V19" s="19"/>
      <c r="W19" s="19"/>
      <c r="X19" s="19"/>
      <c r="Y19" s="19"/>
      <c r="Z19" s="19"/>
      <c r="AA19" s="19"/>
      <c r="AB19" s="19"/>
      <c r="AC19" s="19"/>
      <c r="AD19" s="19"/>
      <c r="AE19" s="19"/>
      <c r="AF19" s="19"/>
    </row>
    <row r="20" spans="1:32" s="17" customFormat="1" ht="13.5" customHeight="1">
      <c r="A20" s="233"/>
      <c r="B20" s="238"/>
      <c r="C20" s="19"/>
      <c r="D20" s="268" t="s">
        <v>244</v>
      </c>
      <c r="E20" s="268"/>
      <c r="F20" s="268"/>
      <c r="G20" s="288"/>
      <c r="H20" s="125" t="s">
        <v>231</v>
      </c>
      <c r="I20" s="19" t="s">
        <v>231</v>
      </c>
      <c r="J20" s="19" t="s">
        <v>231</v>
      </c>
      <c r="K20" s="19" t="s">
        <v>231</v>
      </c>
      <c r="L20" s="19" t="s">
        <v>80</v>
      </c>
      <c r="M20" s="19"/>
      <c r="N20" s="19"/>
      <c r="O20" s="19"/>
      <c r="P20" s="19"/>
      <c r="Q20" s="19"/>
      <c r="R20" s="19"/>
      <c r="S20" s="19"/>
      <c r="T20" s="19"/>
      <c r="U20" s="19"/>
      <c r="V20" s="19"/>
      <c r="W20" s="19"/>
      <c r="X20" s="19"/>
      <c r="Y20" s="19"/>
      <c r="Z20" s="19"/>
      <c r="AA20" s="19"/>
      <c r="AB20" s="19"/>
      <c r="AC20" s="19"/>
      <c r="AD20" s="19"/>
      <c r="AE20" s="19"/>
      <c r="AF20" s="19"/>
    </row>
    <row r="21" spans="1:32" s="17" customFormat="1" ht="13.5" customHeight="1">
      <c r="A21" s="233"/>
      <c r="B21" s="238"/>
      <c r="C21" s="268" t="s">
        <v>245</v>
      </c>
      <c r="D21" s="268"/>
      <c r="E21" s="268"/>
      <c r="F21" s="268"/>
      <c r="G21" s="288"/>
      <c r="H21" s="125"/>
      <c r="I21" s="19"/>
      <c r="J21" s="19"/>
      <c r="K21" s="19"/>
      <c r="L21" s="19"/>
      <c r="M21" s="19"/>
      <c r="N21" s="19"/>
      <c r="O21" s="19"/>
      <c r="P21" s="19"/>
      <c r="Q21" s="19"/>
      <c r="R21" s="19"/>
      <c r="S21" s="19"/>
      <c r="T21" s="19"/>
      <c r="U21" s="19"/>
      <c r="V21" s="19"/>
      <c r="W21" s="19"/>
      <c r="X21" s="19"/>
      <c r="Y21" s="19"/>
      <c r="Z21" s="19"/>
      <c r="AA21" s="19"/>
      <c r="AB21" s="19"/>
      <c r="AC21" s="19"/>
      <c r="AD21" s="19"/>
      <c r="AE21" s="19"/>
      <c r="AF21" s="20"/>
    </row>
    <row r="22" spans="1:32" s="17" customFormat="1" ht="13.5" customHeight="1">
      <c r="A22" s="233"/>
      <c r="B22" s="238"/>
      <c r="C22" s="19"/>
      <c r="D22" s="19"/>
      <c r="E22" s="362" t="s">
        <v>246</v>
      </c>
      <c r="F22" s="268"/>
      <c r="G22" s="288"/>
      <c r="H22" s="125" t="s">
        <v>80</v>
      </c>
      <c r="I22" s="19" t="s">
        <v>80</v>
      </c>
      <c r="J22" s="19" t="s">
        <v>80</v>
      </c>
      <c r="K22" s="19"/>
      <c r="L22" s="19" t="s">
        <v>80</v>
      </c>
      <c r="M22" s="19"/>
      <c r="N22" s="19"/>
      <c r="O22" s="19"/>
      <c r="P22" s="19"/>
      <c r="Q22" s="19"/>
      <c r="R22" s="19"/>
      <c r="S22" s="19"/>
      <c r="T22" s="19"/>
      <c r="U22" s="19"/>
      <c r="V22" s="19"/>
      <c r="W22" s="19"/>
      <c r="X22" s="19"/>
      <c r="Y22" s="19"/>
      <c r="Z22" s="19"/>
      <c r="AA22" s="19"/>
      <c r="AB22" s="19"/>
      <c r="AC22" s="19"/>
      <c r="AD22" s="19"/>
      <c r="AE22" s="19"/>
      <c r="AF22" s="19"/>
    </row>
    <row r="23" spans="1:32" s="17" customFormat="1" ht="13.5" customHeight="1">
      <c r="A23" s="233"/>
      <c r="B23" s="238"/>
      <c r="C23" s="268" t="s">
        <v>247</v>
      </c>
      <c r="D23" s="268"/>
      <c r="E23" s="268"/>
      <c r="F23" s="268"/>
      <c r="G23" s="288"/>
      <c r="H23" s="125"/>
      <c r="I23" s="19"/>
      <c r="J23" s="19"/>
      <c r="K23" s="19"/>
      <c r="L23" s="19"/>
      <c r="M23" s="19"/>
      <c r="N23" s="19"/>
      <c r="O23" s="19"/>
      <c r="P23" s="19"/>
      <c r="Q23" s="19"/>
      <c r="R23" s="19"/>
      <c r="S23" s="19"/>
      <c r="T23" s="19"/>
      <c r="U23" s="19"/>
      <c r="V23" s="19"/>
      <c r="W23" s="19"/>
      <c r="X23" s="19"/>
      <c r="Y23" s="19"/>
      <c r="Z23" s="19"/>
      <c r="AA23" s="19"/>
      <c r="AB23" s="19"/>
      <c r="AC23" s="19"/>
      <c r="AD23" s="19"/>
      <c r="AE23" s="19"/>
      <c r="AF23" s="20"/>
    </row>
    <row r="24" spans="1:32" s="17" customFormat="1" ht="13.5" customHeight="1">
      <c r="A24" s="233"/>
      <c r="B24" s="238"/>
      <c r="C24" s="324"/>
      <c r="D24" s="268" t="s">
        <v>248</v>
      </c>
      <c r="E24" s="268"/>
      <c r="F24" s="268"/>
      <c r="G24" s="288"/>
      <c r="H24" s="125"/>
      <c r="I24" s="19"/>
      <c r="J24" s="19"/>
      <c r="K24" s="19"/>
      <c r="L24" s="19"/>
      <c r="M24" s="19"/>
      <c r="N24" s="19"/>
      <c r="O24" s="19"/>
      <c r="P24" s="19"/>
      <c r="Q24" s="19"/>
      <c r="R24" s="19"/>
      <c r="S24" s="19"/>
      <c r="T24" s="19"/>
      <c r="U24" s="19"/>
      <c r="V24" s="19"/>
      <c r="W24" s="19"/>
      <c r="X24" s="19"/>
      <c r="Y24" s="19"/>
      <c r="Z24" s="19"/>
      <c r="AA24" s="19"/>
      <c r="AB24" s="19"/>
      <c r="AC24" s="19"/>
      <c r="AD24" s="19"/>
      <c r="AE24" s="19"/>
      <c r="AF24" s="20"/>
    </row>
    <row r="25" spans="1:32" s="17" customFormat="1" ht="13.5" customHeight="1">
      <c r="A25" s="233"/>
      <c r="B25" s="238"/>
      <c r="C25" s="324"/>
      <c r="D25" s="76"/>
      <c r="E25" s="355">
        <v>1992</v>
      </c>
      <c r="F25" s="356"/>
      <c r="G25" s="357"/>
      <c r="H25" s="125" t="s">
        <v>80</v>
      </c>
      <c r="I25" s="19" t="s">
        <v>80</v>
      </c>
      <c r="J25" s="19" t="s">
        <v>80</v>
      </c>
      <c r="K25" s="19" t="s">
        <v>80</v>
      </c>
      <c r="L25" s="19" t="s">
        <v>80</v>
      </c>
      <c r="M25" s="19"/>
      <c r="N25" s="19"/>
      <c r="O25" s="19"/>
      <c r="P25" s="19"/>
      <c r="Q25" s="19"/>
      <c r="R25" s="19"/>
      <c r="S25" s="19"/>
      <c r="T25" s="19"/>
      <c r="U25" s="19"/>
      <c r="V25" s="19"/>
      <c r="W25" s="19"/>
      <c r="X25" s="19"/>
      <c r="Y25" s="19"/>
      <c r="Z25" s="19"/>
      <c r="AA25" s="19"/>
      <c r="AB25" s="19"/>
      <c r="AC25" s="19"/>
      <c r="AD25" s="19"/>
      <c r="AE25" s="19"/>
      <c r="AF25" s="19"/>
    </row>
    <row r="26" spans="1:32" s="17" customFormat="1" ht="13.5" customHeight="1">
      <c r="A26" s="233"/>
      <c r="B26" s="238"/>
      <c r="C26" s="324"/>
      <c r="D26" s="268" t="s">
        <v>249</v>
      </c>
      <c r="E26" s="268"/>
      <c r="F26" s="268"/>
      <c r="G26" s="288"/>
      <c r="H26" s="125"/>
      <c r="I26" s="19"/>
      <c r="J26" s="19"/>
      <c r="K26" s="19"/>
      <c r="L26" s="19"/>
      <c r="M26" s="19"/>
      <c r="N26" s="19"/>
      <c r="O26" s="19"/>
      <c r="P26" s="19"/>
      <c r="Q26" s="19"/>
      <c r="R26" s="19"/>
      <c r="S26" s="19"/>
      <c r="T26" s="19"/>
      <c r="U26" s="19"/>
      <c r="V26" s="19"/>
      <c r="W26" s="19"/>
      <c r="X26" s="19"/>
      <c r="Y26" s="19"/>
      <c r="Z26" s="19"/>
      <c r="AA26" s="19"/>
      <c r="AB26" s="19"/>
      <c r="AC26" s="19"/>
      <c r="AD26" s="19"/>
      <c r="AE26" s="19"/>
      <c r="AF26" s="20"/>
    </row>
    <row r="27" spans="1:32" s="17" customFormat="1" ht="13.5" customHeight="1">
      <c r="A27" s="233"/>
      <c r="B27" s="238"/>
      <c r="C27" s="324"/>
      <c r="D27" s="76"/>
      <c r="E27" s="358">
        <v>5</v>
      </c>
      <c r="F27" s="268"/>
      <c r="G27" s="288"/>
      <c r="H27" s="125" t="s">
        <v>231</v>
      </c>
      <c r="I27" s="19" t="s">
        <v>231</v>
      </c>
      <c r="J27" s="19" t="s">
        <v>231</v>
      </c>
      <c r="K27" s="19" t="s">
        <v>231</v>
      </c>
      <c r="L27" s="19" t="s">
        <v>231</v>
      </c>
      <c r="M27" s="19"/>
      <c r="N27" s="19"/>
      <c r="O27" s="19"/>
      <c r="P27" s="19"/>
      <c r="Q27" s="19"/>
      <c r="R27" s="19"/>
      <c r="S27" s="19"/>
      <c r="T27" s="19"/>
      <c r="U27" s="19"/>
      <c r="V27" s="19"/>
      <c r="W27" s="19"/>
      <c r="X27" s="19"/>
      <c r="Y27" s="19"/>
      <c r="Z27" s="19"/>
      <c r="AA27" s="19"/>
      <c r="AB27" s="19"/>
      <c r="AC27" s="19"/>
      <c r="AD27" s="19"/>
      <c r="AE27" s="19"/>
      <c r="AF27" s="19"/>
    </row>
    <row r="28" spans="1:32" s="17" customFormat="1" ht="13.5" customHeight="1">
      <c r="A28" s="233"/>
      <c r="B28" s="238"/>
      <c r="C28" s="324"/>
      <c r="D28" s="268" t="s">
        <v>250</v>
      </c>
      <c r="E28" s="268"/>
      <c r="F28" s="268"/>
      <c r="G28" s="288"/>
      <c r="H28" s="125"/>
      <c r="I28" s="19"/>
      <c r="J28" s="19"/>
      <c r="K28" s="19"/>
      <c r="L28" s="19"/>
      <c r="M28" s="19"/>
      <c r="N28" s="19"/>
      <c r="O28" s="19"/>
      <c r="P28" s="19"/>
      <c r="Q28" s="19"/>
      <c r="R28" s="19"/>
      <c r="S28" s="19"/>
      <c r="T28" s="19"/>
      <c r="U28" s="19"/>
      <c r="V28" s="19"/>
      <c r="W28" s="19"/>
      <c r="X28" s="19"/>
      <c r="Y28" s="19"/>
      <c r="Z28" s="19"/>
      <c r="AA28" s="19"/>
      <c r="AB28" s="19"/>
      <c r="AC28" s="19"/>
      <c r="AD28" s="19"/>
      <c r="AE28" s="19"/>
      <c r="AF28" s="20"/>
    </row>
    <row r="29" spans="1:32" s="17" customFormat="1" ht="13.5" customHeight="1">
      <c r="A29" s="233"/>
      <c r="B29" s="238"/>
      <c r="C29" s="324"/>
      <c r="D29" s="73"/>
      <c r="E29" s="359">
        <v>20</v>
      </c>
      <c r="F29" s="237"/>
      <c r="G29" s="304"/>
      <c r="H29" s="125" t="s">
        <v>231</v>
      </c>
      <c r="I29" s="19" t="s">
        <v>231</v>
      </c>
      <c r="J29" s="19" t="s">
        <v>231</v>
      </c>
      <c r="K29" s="19" t="s">
        <v>231</v>
      </c>
      <c r="L29" s="19" t="s">
        <v>231</v>
      </c>
      <c r="M29" s="19"/>
      <c r="N29" s="19"/>
      <c r="O29" s="19"/>
      <c r="P29" s="19"/>
      <c r="Q29" s="19"/>
      <c r="R29" s="19"/>
      <c r="S29" s="19"/>
      <c r="T29" s="19"/>
      <c r="U29" s="19"/>
      <c r="V29" s="19"/>
      <c r="W29" s="19"/>
      <c r="X29" s="19"/>
      <c r="Y29" s="19"/>
      <c r="Z29" s="19"/>
      <c r="AA29" s="19"/>
      <c r="AB29" s="19"/>
      <c r="AC29" s="19"/>
      <c r="AD29" s="19"/>
      <c r="AE29" s="19"/>
      <c r="AF29" s="19"/>
    </row>
    <row r="30" spans="1:32" s="17" customFormat="1" ht="13.5" customHeight="1">
      <c r="A30" s="233"/>
      <c r="B30" s="238"/>
      <c r="C30" s="268" t="s">
        <v>251</v>
      </c>
      <c r="D30" s="268"/>
      <c r="E30" s="268"/>
      <c r="F30" s="268"/>
      <c r="G30" s="288"/>
      <c r="H30" s="125"/>
      <c r="I30" s="19"/>
      <c r="J30" s="19"/>
      <c r="K30" s="19"/>
      <c r="L30" s="19"/>
      <c r="M30" s="19"/>
      <c r="N30" s="19"/>
      <c r="O30" s="19"/>
      <c r="P30" s="19"/>
      <c r="Q30" s="19"/>
      <c r="R30" s="19"/>
      <c r="S30" s="19"/>
      <c r="T30" s="19"/>
      <c r="U30" s="19"/>
      <c r="V30" s="19"/>
      <c r="W30" s="19"/>
      <c r="X30" s="19"/>
      <c r="Y30" s="19"/>
      <c r="Z30" s="19"/>
      <c r="AA30" s="19"/>
      <c r="AB30" s="19"/>
      <c r="AC30" s="19"/>
      <c r="AD30" s="19"/>
      <c r="AE30" s="19"/>
      <c r="AF30" s="20"/>
    </row>
    <row r="31" spans="1:32" s="17" customFormat="1" ht="13.5" customHeight="1">
      <c r="A31" s="233"/>
      <c r="B31" s="238"/>
      <c r="C31" s="324"/>
      <c r="D31" s="268" t="s">
        <v>72</v>
      </c>
      <c r="E31" s="268"/>
      <c r="F31" s="268"/>
      <c r="G31" s="288"/>
      <c r="H31" s="125"/>
      <c r="I31" s="19"/>
      <c r="J31" s="19"/>
      <c r="K31" s="19" t="s">
        <v>231</v>
      </c>
      <c r="L31" s="19" t="s">
        <v>231</v>
      </c>
      <c r="M31" s="19"/>
      <c r="N31" s="19"/>
      <c r="O31" s="19"/>
      <c r="P31" s="19"/>
      <c r="Q31" s="19"/>
      <c r="R31" s="19"/>
      <c r="S31" s="19"/>
      <c r="T31" s="19"/>
      <c r="U31" s="19"/>
      <c r="V31" s="19"/>
      <c r="W31" s="19"/>
      <c r="X31" s="19"/>
      <c r="Y31" s="19"/>
      <c r="Z31" s="19"/>
      <c r="AA31" s="19"/>
      <c r="AB31" s="19"/>
      <c r="AC31" s="19"/>
      <c r="AD31" s="19"/>
      <c r="AE31" s="19"/>
      <c r="AF31" s="20"/>
    </row>
    <row r="32" spans="1:32" s="17" customFormat="1" ht="13.5" customHeight="1">
      <c r="A32" s="233"/>
      <c r="B32" s="238"/>
      <c r="C32" s="324"/>
      <c r="D32" s="268" t="s">
        <v>252</v>
      </c>
      <c r="E32" s="268"/>
      <c r="F32" s="268"/>
      <c r="G32" s="288"/>
      <c r="H32" s="125" t="s">
        <v>231</v>
      </c>
      <c r="I32" s="19" t="s">
        <v>231</v>
      </c>
      <c r="J32" s="19" t="s">
        <v>231</v>
      </c>
      <c r="K32" s="19"/>
      <c r="L32" s="19"/>
      <c r="M32" s="19"/>
      <c r="N32" s="19"/>
      <c r="O32" s="19"/>
      <c r="P32" s="19"/>
      <c r="Q32" s="19"/>
      <c r="R32" s="19"/>
      <c r="S32" s="19"/>
      <c r="T32" s="19"/>
      <c r="U32" s="19"/>
      <c r="V32" s="19"/>
      <c r="W32" s="19"/>
      <c r="X32" s="19"/>
      <c r="Y32" s="19"/>
      <c r="Z32" s="19"/>
      <c r="AA32" s="19"/>
      <c r="AB32" s="19"/>
      <c r="AC32" s="19"/>
      <c r="AD32" s="19"/>
      <c r="AE32" s="19"/>
      <c r="AF32" s="19"/>
    </row>
    <row r="33" spans="1:32" s="17" customFormat="1" ht="13.5" customHeight="1">
      <c r="A33" s="233"/>
      <c r="B33" s="238"/>
      <c r="C33" s="268" t="s">
        <v>253</v>
      </c>
      <c r="D33" s="268"/>
      <c r="E33" s="268"/>
      <c r="F33" s="268"/>
      <c r="G33" s="288"/>
      <c r="H33" s="125"/>
      <c r="I33" s="19"/>
      <c r="J33" s="19"/>
      <c r="K33" s="19"/>
      <c r="L33" s="19"/>
      <c r="M33" s="19"/>
      <c r="N33" s="19"/>
      <c r="O33" s="19"/>
      <c r="P33" s="19"/>
      <c r="Q33" s="19"/>
      <c r="R33" s="19"/>
      <c r="S33" s="19"/>
      <c r="T33" s="19"/>
      <c r="U33" s="19"/>
      <c r="V33" s="19"/>
      <c r="W33" s="19"/>
      <c r="X33" s="19"/>
      <c r="Y33" s="19"/>
      <c r="Z33" s="19"/>
      <c r="AA33" s="19"/>
      <c r="AB33" s="19"/>
      <c r="AC33" s="19"/>
      <c r="AD33" s="19"/>
      <c r="AE33" s="19"/>
      <c r="AF33" s="20"/>
    </row>
    <row r="34" spans="1:32" s="17" customFormat="1" ht="13.5" customHeight="1">
      <c r="A34" s="233"/>
      <c r="B34" s="238"/>
      <c r="C34" s="324"/>
      <c r="D34" s="268" t="s">
        <v>254</v>
      </c>
      <c r="E34" s="268"/>
      <c r="F34" s="268"/>
      <c r="G34" s="288"/>
      <c r="H34" s="125" t="s">
        <v>231</v>
      </c>
      <c r="I34" s="19"/>
      <c r="J34" s="19" t="s">
        <v>231</v>
      </c>
      <c r="K34" s="19" t="s">
        <v>231</v>
      </c>
      <c r="L34" s="19"/>
      <c r="M34" s="19"/>
      <c r="N34" s="19"/>
      <c r="O34" s="19"/>
      <c r="P34" s="19"/>
      <c r="Q34" s="19"/>
      <c r="R34" s="19"/>
      <c r="S34" s="19"/>
      <c r="T34" s="19"/>
      <c r="U34" s="19"/>
      <c r="V34" s="19"/>
      <c r="W34" s="19"/>
      <c r="X34" s="19"/>
      <c r="Y34" s="19"/>
      <c r="Z34" s="19"/>
      <c r="AA34" s="19"/>
      <c r="AB34" s="19"/>
      <c r="AC34" s="19"/>
      <c r="AD34" s="19"/>
      <c r="AE34" s="19"/>
      <c r="AF34" s="19"/>
    </row>
    <row r="35" spans="1:32" s="17" customFormat="1" ht="13.5" customHeight="1">
      <c r="A35" s="233"/>
      <c r="B35" s="238"/>
      <c r="C35" s="324"/>
      <c r="D35" s="268" t="s">
        <v>187</v>
      </c>
      <c r="E35" s="268"/>
      <c r="F35" s="268"/>
      <c r="G35" s="288"/>
      <c r="H35" s="125"/>
      <c r="I35" s="19"/>
      <c r="J35" s="19" t="s">
        <v>231</v>
      </c>
      <c r="K35" s="19"/>
      <c r="L35" s="19"/>
      <c r="M35" s="19"/>
      <c r="N35" s="19"/>
      <c r="O35" s="19"/>
      <c r="P35" s="19"/>
      <c r="Q35" s="19"/>
      <c r="R35" s="19"/>
      <c r="S35" s="19"/>
      <c r="T35" s="19"/>
      <c r="U35" s="19"/>
      <c r="V35" s="19"/>
      <c r="W35" s="19"/>
      <c r="X35" s="19"/>
      <c r="Y35" s="19"/>
      <c r="Z35" s="19"/>
      <c r="AA35" s="19"/>
      <c r="AB35" s="19"/>
      <c r="AC35" s="19"/>
      <c r="AD35" s="19"/>
      <c r="AE35" s="19"/>
      <c r="AF35" s="19"/>
    </row>
    <row r="36" spans="1:32" s="17" customFormat="1" ht="13.5" customHeight="1">
      <c r="A36" s="233"/>
      <c r="B36" s="238"/>
      <c r="C36" s="324"/>
      <c r="D36" s="268" t="s">
        <v>255</v>
      </c>
      <c r="E36" s="268"/>
      <c r="F36" s="268"/>
      <c r="G36" s="288"/>
      <c r="H36" s="125"/>
      <c r="I36" s="19"/>
      <c r="J36" s="19" t="s">
        <v>231</v>
      </c>
      <c r="K36" s="19"/>
      <c r="L36" s="19"/>
      <c r="M36" s="19"/>
      <c r="N36" s="19"/>
      <c r="O36" s="19"/>
      <c r="P36" s="19"/>
      <c r="Q36" s="19"/>
      <c r="R36" s="19"/>
      <c r="S36" s="19"/>
      <c r="T36" s="19"/>
      <c r="U36" s="19"/>
      <c r="V36" s="19"/>
      <c r="W36" s="19"/>
      <c r="X36" s="19"/>
      <c r="Y36" s="19"/>
      <c r="Z36" s="19"/>
      <c r="AA36" s="19"/>
      <c r="AB36" s="19"/>
      <c r="AC36" s="19"/>
      <c r="AD36" s="19"/>
      <c r="AE36" s="19"/>
      <c r="AF36" s="19"/>
    </row>
    <row r="37" spans="1:32" s="17" customFormat="1" ht="13.5" customHeight="1">
      <c r="A37" s="233"/>
      <c r="B37" s="238"/>
      <c r="C37" s="324"/>
      <c r="D37" s="268" t="s">
        <v>256</v>
      </c>
      <c r="E37" s="268"/>
      <c r="F37" s="268"/>
      <c r="G37" s="288"/>
      <c r="H37" s="125"/>
      <c r="I37" s="19"/>
      <c r="J37" s="19" t="s">
        <v>231</v>
      </c>
      <c r="K37" s="19"/>
      <c r="L37" s="19"/>
      <c r="M37" s="19"/>
      <c r="N37" s="19"/>
      <c r="O37" s="19"/>
      <c r="P37" s="19"/>
      <c r="Q37" s="19"/>
      <c r="R37" s="19"/>
      <c r="S37" s="19"/>
      <c r="T37" s="19"/>
      <c r="U37" s="19"/>
      <c r="V37" s="19"/>
      <c r="W37" s="19"/>
      <c r="X37" s="19"/>
      <c r="Y37" s="19"/>
      <c r="Z37" s="19"/>
      <c r="AA37" s="19"/>
      <c r="AB37" s="19"/>
      <c r="AC37" s="19"/>
      <c r="AD37" s="19"/>
      <c r="AE37" s="19"/>
      <c r="AF37" s="19"/>
    </row>
    <row r="38" spans="1:32" s="17" customFormat="1" ht="13.5" customHeight="1">
      <c r="A38" s="233"/>
      <c r="B38" s="238"/>
      <c r="C38" s="268" t="s">
        <v>257</v>
      </c>
      <c r="D38" s="268"/>
      <c r="E38" s="268"/>
      <c r="F38" s="268"/>
      <c r="G38" s="288"/>
      <c r="H38" s="125"/>
      <c r="I38" s="19"/>
      <c r="J38" s="19"/>
      <c r="K38" s="19"/>
      <c r="L38" s="19"/>
      <c r="M38" s="19"/>
      <c r="N38" s="19"/>
      <c r="O38" s="19"/>
      <c r="P38" s="19"/>
      <c r="Q38" s="19"/>
      <c r="R38" s="19"/>
      <c r="S38" s="19"/>
      <c r="T38" s="19"/>
      <c r="U38" s="19"/>
      <c r="V38" s="19"/>
      <c r="W38" s="19"/>
      <c r="X38" s="19"/>
      <c r="Y38" s="19"/>
      <c r="Z38" s="19"/>
      <c r="AA38" s="19"/>
      <c r="AB38" s="19"/>
      <c r="AC38" s="19"/>
      <c r="AD38" s="19"/>
      <c r="AE38" s="19"/>
      <c r="AF38" s="19"/>
    </row>
    <row r="39" spans="1:32" s="17" customFormat="1" ht="13.5" customHeight="1">
      <c r="A39" s="233"/>
      <c r="B39" s="238"/>
      <c r="C39" s="277"/>
      <c r="D39" s="268" t="s">
        <v>72</v>
      </c>
      <c r="E39" s="268"/>
      <c r="F39" s="268"/>
      <c r="G39" s="288"/>
      <c r="H39" s="125" t="s">
        <v>231</v>
      </c>
      <c r="I39" s="19"/>
      <c r="J39" s="19"/>
      <c r="K39" s="19" t="s">
        <v>231</v>
      </c>
      <c r="L39" s="19"/>
      <c r="N39" s="19"/>
      <c r="O39" s="19"/>
      <c r="P39" s="19"/>
      <c r="Q39" s="19"/>
      <c r="R39" s="19"/>
      <c r="S39" s="19"/>
      <c r="T39" s="19"/>
      <c r="U39" s="19"/>
      <c r="V39" s="19"/>
      <c r="W39" s="19"/>
      <c r="X39" s="19"/>
      <c r="Y39" s="19"/>
      <c r="Z39" s="19"/>
      <c r="AA39" s="19"/>
      <c r="AB39" s="19"/>
      <c r="AD39" s="19"/>
      <c r="AE39" s="19"/>
      <c r="AF39" s="19"/>
    </row>
    <row r="40" spans="1:32" s="17" customFormat="1" ht="13.5" customHeight="1">
      <c r="A40" s="233"/>
      <c r="B40" s="238"/>
      <c r="C40" s="278"/>
      <c r="D40" s="268" t="s">
        <v>258</v>
      </c>
      <c r="E40" s="268"/>
      <c r="F40" s="268"/>
      <c r="G40" s="288"/>
      <c r="H40" s="125"/>
      <c r="I40" s="19" t="s">
        <v>231</v>
      </c>
      <c r="J40" s="19" t="s">
        <v>231</v>
      </c>
      <c r="K40" s="82"/>
      <c r="L40" s="82" t="s">
        <v>231</v>
      </c>
      <c r="M40" s="19"/>
      <c r="N40" s="19"/>
      <c r="O40" s="19"/>
      <c r="P40" s="19"/>
      <c r="Q40" s="19"/>
      <c r="R40" s="19"/>
      <c r="S40" s="19"/>
      <c r="T40" s="19"/>
      <c r="U40" s="19"/>
      <c r="V40" s="19"/>
      <c r="W40" s="19"/>
      <c r="X40" s="19"/>
      <c r="Y40" s="19"/>
      <c r="Z40" s="19"/>
      <c r="AA40" s="82"/>
      <c r="AB40" s="82"/>
      <c r="AC40" s="19"/>
      <c r="AD40" s="19"/>
      <c r="AE40" s="19"/>
      <c r="AF40" s="19"/>
    </row>
    <row r="41" spans="1:32" s="17" customFormat="1" ht="13.5" customHeight="1">
      <c r="A41" s="233"/>
      <c r="B41" s="238"/>
      <c r="C41" s="268" t="s">
        <v>89</v>
      </c>
      <c r="D41" s="268"/>
      <c r="E41" s="268"/>
      <c r="F41" s="268"/>
      <c r="G41" s="288"/>
      <c r="H41" s="125" t="s">
        <v>231</v>
      </c>
      <c r="I41" s="19" t="s">
        <v>231</v>
      </c>
      <c r="J41" s="19" t="s">
        <v>231</v>
      </c>
      <c r="K41" s="19" t="s">
        <v>231</v>
      </c>
      <c r="L41" s="19" t="s">
        <v>231</v>
      </c>
      <c r="M41" s="19" t="s">
        <v>231</v>
      </c>
      <c r="N41" s="19"/>
      <c r="O41" s="19"/>
      <c r="P41" s="19"/>
      <c r="Q41" s="19"/>
      <c r="R41" s="19"/>
      <c r="S41" s="19"/>
      <c r="T41" s="19"/>
      <c r="U41" s="19"/>
      <c r="V41" s="19"/>
      <c r="W41" s="19"/>
      <c r="X41" s="19"/>
      <c r="Y41" s="19"/>
      <c r="Z41" s="19"/>
      <c r="AA41" s="19"/>
      <c r="AB41" s="19"/>
      <c r="AC41" s="19"/>
      <c r="AD41" s="19"/>
      <c r="AE41" s="19"/>
      <c r="AF41" s="19"/>
    </row>
    <row r="42" spans="1:32" s="17" customFormat="1" ht="13.5" customHeight="1">
      <c r="A42" s="233"/>
      <c r="B42" s="238"/>
      <c r="C42" s="268" t="s">
        <v>90</v>
      </c>
      <c r="D42" s="268"/>
      <c r="E42" s="268"/>
      <c r="F42" s="268"/>
      <c r="G42" s="288"/>
      <c r="H42" s="125"/>
      <c r="I42" s="19"/>
      <c r="J42" s="19"/>
      <c r="K42" s="19"/>
      <c r="L42" s="19"/>
      <c r="M42" s="19"/>
      <c r="N42" s="19"/>
      <c r="O42" s="19"/>
      <c r="P42" s="19"/>
      <c r="Q42" s="19"/>
      <c r="R42" s="19"/>
      <c r="S42" s="19"/>
      <c r="T42" s="19"/>
      <c r="U42" s="19"/>
      <c r="V42" s="19"/>
      <c r="W42" s="19"/>
      <c r="X42" s="19"/>
      <c r="Y42" s="19"/>
      <c r="Z42" s="19"/>
      <c r="AA42" s="19"/>
      <c r="AB42" s="19"/>
      <c r="AC42" s="19"/>
      <c r="AD42" s="19"/>
      <c r="AE42" s="19"/>
      <c r="AF42" s="20"/>
    </row>
    <row r="43" spans="1:32" s="17" customFormat="1" ht="13.5" customHeight="1" thickBot="1">
      <c r="A43" s="233"/>
      <c r="B43" s="274"/>
      <c r="C43" s="73"/>
      <c r="D43" s="303" t="s">
        <v>65</v>
      </c>
      <c r="E43" s="303"/>
      <c r="F43" s="303"/>
      <c r="G43" s="352"/>
      <c r="H43" s="125"/>
      <c r="I43" s="19"/>
      <c r="J43" s="19"/>
      <c r="K43" s="19"/>
      <c r="L43" s="19"/>
      <c r="M43" s="19" t="s">
        <v>231</v>
      </c>
      <c r="N43" s="19"/>
      <c r="O43" s="19"/>
      <c r="P43" s="19"/>
      <c r="Q43" s="19"/>
      <c r="R43" s="19"/>
      <c r="S43" s="19"/>
      <c r="T43" s="19"/>
      <c r="U43" s="19"/>
      <c r="V43" s="19"/>
      <c r="W43" s="19"/>
      <c r="X43" s="19"/>
      <c r="Y43" s="19"/>
      <c r="Z43" s="19"/>
      <c r="AA43" s="19"/>
      <c r="AB43" s="19"/>
      <c r="AC43" s="19"/>
      <c r="AD43" s="19"/>
      <c r="AE43" s="19"/>
      <c r="AF43" s="20"/>
    </row>
    <row r="44" spans="1:32" s="17" customFormat="1" ht="13.5" customHeight="1">
      <c r="A44" s="226" t="s">
        <v>181</v>
      </c>
      <c r="B44" s="313" t="s">
        <v>66</v>
      </c>
      <c r="C44" s="313"/>
      <c r="D44" s="313"/>
      <c r="E44" s="313"/>
      <c r="F44" s="313"/>
      <c r="G44" s="314"/>
      <c r="H44" s="127"/>
      <c r="I44" s="26"/>
      <c r="J44" s="26"/>
      <c r="K44" s="26"/>
      <c r="L44" s="26"/>
      <c r="M44" s="26"/>
      <c r="N44" s="26"/>
      <c r="O44" s="26"/>
      <c r="P44" s="26"/>
      <c r="Q44" s="26"/>
      <c r="R44" s="26"/>
      <c r="S44" s="26"/>
      <c r="T44" s="26"/>
      <c r="U44" s="26"/>
      <c r="V44" s="26"/>
      <c r="W44" s="26"/>
      <c r="X44" s="26"/>
      <c r="Y44" s="26"/>
      <c r="Z44" s="26"/>
      <c r="AA44" s="26"/>
      <c r="AB44" s="26"/>
      <c r="AC44" s="26"/>
      <c r="AD44" s="26"/>
      <c r="AE44" s="26"/>
      <c r="AF44" s="27"/>
    </row>
    <row r="45" spans="1:32" s="17" customFormat="1" ht="27" customHeight="1">
      <c r="A45" s="227"/>
      <c r="B45" s="324"/>
      <c r="C45" s="283" t="s">
        <v>259</v>
      </c>
      <c r="D45" s="283"/>
      <c r="E45" s="283"/>
      <c r="F45" s="283"/>
      <c r="G45" s="309"/>
      <c r="H45" s="128"/>
      <c r="I45" s="87"/>
      <c r="J45" s="87"/>
      <c r="K45" s="87"/>
      <c r="L45" s="87"/>
      <c r="M45" s="87"/>
      <c r="N45" s="87"/>
      <c r="O45" s="87"/>
      <c r="P45" s="87"/>
      <c r="Q45" s="87"/>
      <c r="R45" s="87"/>
      <c r="S45" s="87"/>
      <c r="T45" s="87"/>
      <c r="U45" s="87"/>
      <c r="V45" s="87"/>
      <c r="W45" s="87"/>
      <c r="X45" s="87"/>
      <c r="Y45" s="87"/>
      <c r="Z45" s="87"/>
      <c r="AA45" s="87"/>
      <c r="AB45" s="87"/>
      <c r="AC45" s="87"/>
      <c r="AD45" s="87"/>
      <c r="AE45" s="87"/>
      <c r="AF45" s="87"/>
    </row>
    <row r="46" spans="1:32" s="17" customFormat="1" ht="13.5" customHeight="1">
      <c r="A46" s="227"/>
      <c r="B46" s="324"/>
      <c r="C46" s="284"/>
      <c r="D46" s="216" t="s">
        <v>260</v>
      </c>
      <c r="E46" s="217"/>
      <c r="F46" s="217"/>
      <c r="G46" s="273"/>
      <c r="H46" s="128"/>
      <c r="I46" s="87"/>
      <c r="J46" s="87"/>
      <c r="K46" s="87" t="s">
        <v>231</v>
      </c>
      <c r="L46" s="87" t="s">
        <v>231</v>
      </c>
      <c r="M46" s="87"/>
      <c r="N46" s="87"/>
      <c r="O46" s="87"/>
      <c r="P46" s="87"/>
      <c r="Q46" s="87"/>
      <c r="R46" s="87"/>
      <c r="S46" s="87"/>
      <c r="T46" s="87"/>
      <c r="U46" s="87"/>
      <c r="V46" s="87"/>
      <c r="W46" s="87"/>
      <c r="X46" s="87"/>
      <c r="Y46" s="87"/>
      <c r="Z46" s="87"/>
      <c r="AA46" s="87"/>
      <c r="AB46" s="87"/>
      <c r="AC46" s="87"/>
      <c r="AD46" s="87"/>
      <c r="AE46" s="87"/>
      <c r="AF46" s="87"/>
    </row>
    <row r="47" spans="1:32" s="17" customFormat="1" ht="13.5" customHeight="1">
      <c r="A47" s="227"/>
      <c r="B47" s="324"/>
      <c r="C47" s="285"/>
      <c r="D47" s="216" t="s">
        <v>172</v>
      </c>
      <c r="E47" s="217"/>
      <c r="F47" s="217"/>
      <c r="G47" s="273"/>
      <c r="H47" s="128" t="s">
        <v>80</v>
      </c>
      <c r="I47" s="87" t="s">
        <v>80</v>
      </c>
      <c r="J47" s="87" t="s">
        <v>80</v>
      </c>
      <c r="K47" s="87"/>
      <c r="L47" s="87"/>
      <c r="M47" s="87"/>
      <c r="N47" s="87"/>
      <c r="O47" s="87"/>
      <c r="P47" s="87"/>
      <c r="Q47" s="87"/>
      <c r="R47" s="87"/>
      <c r="S47" s="87"/>
      <c r="T47" s="87"/>
      <c r="U47" s="87"/>
      <c r="V47" s="87"/>
      <c r="W47" s="87"/>
      <c r="X47" s="87"/>
      <c r="Y47" s="87"/>
      <c r="Z47" s="87"/>
      <c r="AA47" s="87"/>
      <c r="AB47" s="87"/>
      <c r="AC47" s="87"/>
      <c r="AD47" s="87"/>
      <c r="AE47" s="87"/>
      <c r="AF47" s="19"/>
    </row>
    <row r="48" spans="1:32" s="17" customFormat="1" ht="13.5" customHeight="1">
      <c r="A48" s="227"/>
      <c r="B48" s="324"/>
      <c r="C48" s="285"/>
      <c r="D48" s="216" t="s">
        <v>261</v>
      </c>
      <c r="E48" s="217"/>
      <c r="F48" s="217"/>
      <c r="G48" s="273"/>
      <c r="H48" s="128" t="s">
        <v>80</v>
      </c>
      <c r="I48" s="87" t="s">
        <v>80</v>
      </c>
      <c r="J48" s="87" t="s">
        <v>80</v>
      </c>
      <c r="K48" s="87" t="s">
        <v>231</v>
      </c>
      <c r="L48" s="87" t="s">
        <v>231</v>
      </c>
      <c r="M48" s="87"/>
      <c r="N48" s="87"/>
      <c r="O48" s="87"/>
      <c r="P48" s="87"/>
      <c r="Q48" s="87"/>
      <c r="R48" s="87"/>
      <c r="S48" s="87"/>
      <c r="T48" s="87"/>
      <c r="U48" s="87"/>
      <c r="V48" s="87"/>
      <c r="W48" s="87"/>
      <c r="X48" s="87"/>
      <c r="Y48" s="87"/>
      <c r="Z48" s="87"/>
      <c r="AA48" s="87"/>
      <c r="AB48" s="87"/>
      <c r="AC48" s="87"/>
      <c r="AD48" s="87"/>
      <c r="AE48" s="87"/>
      <c r="AF48" s="19"/>
    </row>
    <row r="49" spans="1:32" s="17" customFormat="1" ht="13.5" customHeight="1">
      <c r="A49" s="227"/>
      <c r="B49" s="324"/>
      <c r="C49" s="285"/>
      <c r="D49" s="216" t="s">
        <v>170</v>
      </c>
      <c r="E49" s="217"/>
      <c r="F49" s="217"/>
      <c r="G49" s="273"/>
      <c r="H49" s="128" t="s">
        <v>80</v>
      </c>
      <c r="I49" s="87" t="s">
        <v>80</v>
      </c>
      <c r="J49" s="87" t="s">
        <v>80</v>
      </c>
      <c r="K49" s="87"/>
      <c r="L49" s="87" t="s">
        <v>231</v>
      </c>
      <c r="M49" s="87"/>
      <c r="N49" s="87"/>
      <c r="O49" s="87"/>
      <c r="P49" s="87"/>
      <c r="Q49" s="87"/>
      <c r="R49" s="87"/>
      <c r="S49" s="87"/>
      <c r="T49" s="87"/>
      <c r="U49" s="87"/>
      <c r="V49" s="87"/>
      <c r="W49" s="87"/>
      <c r="X49" s="87"/>
      <c r="Y49" s="87"/>
      <c r="Z49" s="87"/>
      <c r="AA49" s="87"/>
      <c r="AB49" s="87"/>
      <c r="AC49" s="87"/>
      <c r="AD49" s="87"/>
      <c r="AE49" s="87"/>
      <c r="AF49" s="19"/>
    </row>
    <row r="50" spans="1:32" s="17" customFormat="1" ht="13.5" customHeight="1">
      <c r="A50" s="227"/>
      <c r="B50" s="324"/>
      <c r="C50" s="285"/>
      <c r="D50" s="216" t="s">
        <v>262</v>
      </c>
      <c r="E50" s="217"/>
      <c r="F50" s="217"/>
      <c r="G50" s="273"/>
      <c r="H50" s="128"/>
      <c r="I50" s="87"/>
      <c r="J50" s="87"/>
      <c r="K50" s="87" t="s">
        <v>231</v>
      </c>
      <c r="L50" s="87"/>
      <c r="M50" s="87"/>
      <c r="N50" s="87"/>
      <c r="O50" s="87"/>
      <c r="P50" s="87"/>
      <c r="Q50" s="87"/>
      <c r="R50" s="87"/>
      <c r="S50" s="87"/>
      <c r="T50" s="87"/>
      <c r="U50" s="87"/>
      <c r="V50" s="87"/>
      <c r="W50" s="87"/>
      <c r="X50" s="87"/>
      <c r="Y50" s="87"/>
      <c r="Z50" s="87"/>
      <c r="AA50" s="87"/>
      <c r="AB50" s="87"/>
      <c r="AC50" s="87"/>
      <c r="AD50" s="87"/>
      <c r="AE50" s="87"/>
      <c r="AF50" s="19"/>
    </row>
    <row r="51" spans="1:32" s="17" customFormat="1" ht="13.5" customHeight="1">
      <c r="A51" s="227"/>
      <c r="B51" s="324"/>
      <c r="C51" s="285"/>
      <c r="D51" s="216" t="s">
        <v>263</v>
      </c>
      <c r="E51" s="217"/>
      <c r="F51" s="217"/>
      <c r="G51" s="273"/>
      <c r="H51" s="128" t="s">
        <v>80</v>
      </c>
      <c r="I51" s="87" t="s">
        <v>80</v>
      </c>
      <c r="J51" s="87" t="s">
        <v>80</v>
      </c>
      <c r="K51" s="87" t="s">
        <v>231</v>
      </c>
      <c r="L51" s="87" t="s">
        <v>231</v>
      </c>
      <c r="M51" s="87"/>
      <c r="N51" s="87"/>
      <c r="O51" s="87"/>
      <c r="P51" s="87"/>
      <c r="Q51" s="87"/>
      <c r="R51" s="87"/>
      <c r="S51" s="87"/>
      <c r="T51" s="87"/>
      <c r="U51" s="87"/>
      <c r="V51" s="87"/>
      <c r="W51" s="87"/>
      <c r="X51" s="87"/>
      <c r="Y51" s="87"/>
      <c r="Z51" s="87"/>
      <c r="AA51" s="87"/>
      <c r="AB51" s="87"/>
      <c r="AC51" s="87"/>
      <c r="AD51" s="87"/>
      <c r="AE51" s="87"/>
      <c r="AF51" s="19"/>
    </row>
    <row r="52" spans="1:32" s="17" customFormat="1" ht="13.5" customHeight="1">
      <c r="A52" s="227"/>
      <c r="B52" s="324"/>
      <c r="C52" s="285"/>
      <c r="D52" s="216" t="s">
        <v>174</v>
      </c>
      <c r="E52" s="217"/>
      <c r="F52" s="217"/>
      <c r="G52" s="273"/>
      <c r="H52" s="128" t="s">
        <v>80</v>
      </c>
      <c r="I52" s="87" t="s">
        <v>80</v>
      </c>
      <c r="J52" s="87" t="s">
        <v>80</v>
      </c>
      <c r="K52" s="87" t="s">
        <v>231</v>
      </c>
      <c r="L52" s="87" t="s">
        <v>231</v>
      </c>
      <c r="M52" s="87"/>
      <c r="N52" s="87"/>
      <c r="O52" s="87"/>
      <c r="P52" s="87"/>
      <c r="Q52" s="87"/>
      <c r="R52" s="87"/>
      <c r="S52" s="87"/>
      <c r="T52" s="87"/>
      <c r="U52" s="87"/>
      <c r="V52" s="87"/>
      <c r="W52" s="87"/>
      <c r="X52" s="87"/>
      <c r="Y52" s="87"/>
      <c r="Z52" s="87"/>
      <c r="AA52" s="87"/>
      <c r="AB52" s="87"/>
      <c r="AC52" s="87"/>
      <c r="AD52" s="87"/>
      <c r="AE52" s="87"/>
      <c r="AF52" s="19"/>
    </row>
    <row r="53" spans="1:32" s="17" customFormat="1" ht="13.5" customHeight="1">
      <c r="A53" s="227"/>
      <c r="B53" s="324"/>
      <c r="C53" s="285"/>
      <c r="D53" s="216" t="s">
        <v>173</v>
      </c>
      <c r="E53" s="217"/>
      <c r="F53" s="217"/>
      <c r="G53" s="273"/>
      <c r="H53" s="128" t="s">
        <v>80</v>
      </c>
      <c r="I53" s="87" t="s">
        <v>80</v>
      </c>
      <c r="J53" s="87" t="s">
        <v>80</v>
      </c>
      <c r="K53" s="87" t="s">
        <v>231</v>
      </c>
      <c r="L53" s="87" t="s">
        <v>231</v>
      </c>
      <c r="M53" s="87"/>
      <c r="N53" s="87"/>
      <c r="O53" s="87"/>
      <c r="P53" s="87"/>
      <c r="Q53" s="87"/>
      <c r="R53" s="87"/>
      <c r="S53" s="87"/>
      <c r="T53" s="87"/>
      <c r="U53" s="87"/>
      <c r="V53" s="87"/>
      <c r="W53" s="87"/>
      <c r="X53" s="87"/>
      <c r="Y53" s="87"/>
      <c r="Z53" s="87"/>
      <c r="AA53" s="87"/>
      <c r="AB53" s="87"/>
      <c r="AC53" s="87"/>
      <c r="AD53" s="87"/>
      <c r="AE53" s="87"/>
      <c r="AF53" s="19"/>
    </row>
    <row r="54" spans="1:32" s="17" customFormat="1" ht="13.5" customHeight="1">
      <c r="A54" s="227"/>
      <c r="B54" s="324"/>
      <c r="C54" s="285"/>
      <c r="D54" s="216" t="s">
        <v>264</v>
      </c>
      <c r="E54" s="217"/>
      <c r="F54" s="217"/>
      <c r="G54" s="273"/>
      <c r="H54" s="128" t="s">
        <v>80</v>
      </c>
      <c r="I54" s="87" t="s">
        <v>80</v>
      </c>
      <c r="J54" s="87" t="s">
        <v>80</v>
      </c>
      <c r="K54" s="87" t="s">
        <v>231</v>
      </c>
      <c r="L54" s="87" t="s">
        <v>231</v>
      </c>
      <c r="M54" s="87"/>
      <c r="N54" s="87"/>
      <c r="O54" s="87"/>
      <c r="P54" s="87"/>
      <c r="Q54" s="87"/>
      <c r="R54" s="87"/>
      <c r="S54" s="87"/>
      <c r="T54" s="87"/>
      <c r="U54" s="87"/>
      <c r="V54" s="87"/>
      <c r="W54" s="87"/>
      <c r="X54" s="87"/>
      <c r="Y54" s="87"/>
      <c r="Z54" s="87"/>
      <c r="AA54" s="87"/>
      <c r="AB54" s="87"/>
      <c r="AC54" s="87"/>
      <c r="AD54" s="87"/>
      <c r="AE54" s="87"/>
      <c r="AF54" s="19"/>
    </row>
    <row r="55" spans="1:32" s="17" customFormat="1" ht="13.5" customHeight="1">
      <c r="A55" s="227"/>
      <c r="B55" s="324"/>
      <c r="C55" s="285"/>
      <c r="D55" s="216" t="s">
        <v>265</v>
      </c>
      <c r="E55" s="217"/>
      <c r="F55" s="217"/>
      <c r="G55" s="273"/>
      <c r="H55" s="128"/>
      <c r="I55" s="87"/>
      <c r="J55" s="87"/>
      <c r="K55" s="87" t="s">
        <v>231</v>
      </c>
      <c r="L55" s="87"/>
      <c r="M55" s="87"/>
      <c r="N55" s="87"/>
      <c r="O55" s="87"/>
      <c r="P55" s="87"/>
      <c r="Q55" s="87"/>
      <c r="R55" s="87"/>
      <c r="S55" s="87"/>
      <c r="T55" s="87"/>
      <c r="U55" s="87"/>
      <c r="V55" s="87"/>
      <c r="W55" s="87"/>
      <c r="X55" s="87"/>
      <c r="Y55" s="87"/>
      <c r="Z55" s="87"/>
      <c r="AA55" s="87"/>
      <c r="AB55" s="87"/>
      <c r="AC55" s="87"/>
      <c r="AD55" s="87"/>
      <c r="AE55" s="87"/>
      <c r="AF55" s="19"/>
    </row>
    <row r="56" spans="1:32" s="17" customFormat="1" ht="13.5" customHeight="1">
      <c r="A56" s="227"/>
      <c r="B56" s="324"/>
      <c r="C56" s="285"/>
      <c r="D56" s="216" t="s">
        <v>167</v>
      </c>
      <c r="E56" s="217"/>
      <c r="F56" s="217"/>
      <c r="G56" s="273"/>
      <c r="H56" s="128" t="s">
        <v>80</v>
      </c>
      <c r="I56" s="87" t="s">
        <v>80</v>
      </c>
      <c r="J56" s="87" t="s">
        <v>80</v>
      </c>
      <c r="K56" s="87"/>
      <c r="L56" s="87" t="s">
        <v>231</v>
      </c>
      <c r="M56" s="87"/>
      <c r="N56" s="87"/>
      <c r="O56" s="87"/>
      <c r="P56" s="87"/>
      <c r="Q56" s="87"/>
      <c r="R56" s="87"/>
      <c r="S56" s="87"/>
      <c r="T56" s="87"/>
      <c r="U56" s="87"/>
      <c r="V56" s="87"/>
      <c r="W56" s="87"/>
      <c r="X56" s="87"/>
      <c r="Y56" s="87"/>
      <c r="Z56" s="87"/>
      <c r="AA56" s="87"/>
      <c r="AB56" s="87"/>
      <c r="AC56" s="87"/>
      <c r="AD56" s="87"/>
      <c r="AE56" s="87"/>
      <c r="AF56" s="19"/>
    </row>
    <row r="57" spans="1:32" s="17" customFormat="1" ht="13.5" customHeight="1">
      <c r="A57" s="227"/>
      <c r="B57" s="324"/>
      <c r="C57" s="285"/>
      <c r="D57" s="216" t="s">
        <v>266</v>
      </c>
      <c r="E57" s="217"/>
      <c r="F57" s="217"/>
      <c r="G57" s="273"/>
      <c r="H57" s="128"/>
      <c r="I57" s="87"/>
      <c r="J57" s="87"/>
      <c r="K57" s="87" t="s">
        <v>231</v>
      </c>
      <c r="L57" s="87" t="s">
        <v>231</v>
      </c>
      <c r="M57" s="87"/>
      <c r="N57" s="87"/>
      <c r="O57" s="87"/>
      <c r="P57" s="87"/>
      <c r="Q57" s="87"/>
      <c r="R57" s="87"/>
      <c r="S57" s="87"/>
      <c r="T57" s="87"/>
      <c r="U57" s="87"/>
      <c r="V57" s="87"/>
      <c r="W57" s="87"/>
      <c r="X57" s="87"/>
      <c r="Y57" s="87"/>
      <c r="Z57" s="87"/>
      <c r="AA57" s="87"/>
      <c r="AB57" s="87"/>
      <c r="AC57" s="87"/>
      <c r="AD57" s="87"/>
      <c r="AE57" s="87"/>
      <c r="AF57" s="19"/>
    </row>
    <row r="58" spans="1:32" s="17" customFormat="1" ht="13.5" customHeight="1">
      <c r="A58" s="227"/>
      <c r="B58" s="324"/>
      <c r="C58" s="285"/>
      <c r="D58" s="216" t="s">
        <v>267</v>
      </c>
      <c r="E58" s="217"/>
      <c r="F58" s="217"/>
      <c r="G58" s="273"/>
      <c r="H58" s="128"/>
      <c r="I58" s="87"/>
      <c r="J58" s="87"/>
      <c r="K58" s="87" t="s">
        <v>231</v>
      </c>
      <c r="L58" s="87" t="s">
        <v>231</v>
      </c>
      <c r="M58" s="87"/>
      <c r="N58" s="87"/>
      <c r="O58" s="87"/>
      <c r="P58" s="87"/>
      <c r="Q58" s="87"/>
      <c r="R58" s="87"/>
      <c r="S58" s="87"/>
      <c r="T58" s="87"/>
      <c r="U58" s="87"/>
      <c r="V58" s="87"/>
      <c r="W58" s="87"/>
      <c r="X58" s="87"/>
      <c r="Y58" s="87"/>
      <c r="Z58" s="87"/>
      <c r="AA58" s="87"/>
      <c r="AB58" s="87"/>
      <c r="AC58" s="87"/>
      <c r="AD58" s="87"/>
      <c r="AE58" s="87"/>
      <c r="AF58" s="19"/>
    </row>
    <row r="59" spans="1:32" s="17" customFormat="1" ht="13.5" customHeight="1">
      <c r="A59" s="227"/>
      <c r="B59" s="324"/>
      <c r="C59" s="285"/>
      <c r="D59" s="216" t="s">
        <v>165</v>
      </c>
      <c r="E59" s="217"/>
      <c r="F59" s="217"/>
      <c r="G59" s="273"/>
      <c r="H59" s="129" t="s">
        <v>231</v>
      </c>
      <c r="I59" s="23" t="s">
        <v>231</v>
      </c>
      <c r="J59" s="23" t="s">
        <v>231</v>
      </c>
      <c r="K59" s="87"/>
      <c r="L59" s="87"/>
      <c r="M59" s="87"/>
      <c r="N59" s="87"/>
      <c r="O59" s="87"/>
      <c r="P59" s="87"/>
      <c r="Q59" s="87"/>
      <c r="R59" s="87"/>
      <c r="S59" s="87"/>
      <c r="T59" s="87"/>
      <c r="U59" s="87"/>
      <c r="V59" s="87"/>
      <c r="W59" s="87"/>
      <c r="X59" s="23"/>
      <c r="Y59" s="23"/>
      <c r="Z59" s="23"/>
      <c r="AA59" s="87"/>
      <c r="AB59" s="87"/>
      <c r="AC59" s="87"/>
      <c r="AD59" s="82"/>
      <c r="AE59" s="82"/>
      <c r="AF59" s="19"/>
    </row>
    <row r="60" spans="1:32" s="17" customFormat="1" ht="13.5" customHeight="1">
      <c r="A60" s="227"/>
      <c r="B60" s="324"/>
      <c r="C60" s="285"/>
      <c r="D60" s="216" t="s">
        <v>268</v>
      </c>
      <c r="E60" s="217"/>
      <c r="F60" s="217"/>
      <c r="G60" s="273"/>
      <c r="H60" s="128" t="s">
        <v>80</v>
      </c>
      <c r="I60" s="87"/>
      <c r="J60" s="87"/>
      <c r="K60" s="87" t="s">
        <v>231</v>
      </c>
      <c r="L60" s="87"/>
      <c r="M60" s="19"/>
      <c r="N60" s="87"/>
      <c r="O60" s="87"/>
      <c r="P60" s="87"/>
      <c r="Q60" s="87"/>
      <c r="R60" s="87"/>
      <c r="S60" s="87"/>
      <c r="T60" s="87"/>
      <c r="U60" s="87"/>
      <c r="V60" s="87"/>
      <c r="W60" s="87"/>
      <c r="X60" s="87"/>
      <c r="Y60" s="87"/>
      <c r="Z60" s="87"/>
      <c r="AA60" s="87"/>
      <c r="AB60" s="87"/>
      <c r="AC60" s="19"/>
      <c r="AD60" s="23"/>
      <c r="AE60" s="23"/>
      <c r="AF60" s="82"/>
    </row>
    <row r="61" spans="1:32" s="17" customFormat="1" ht="42.75" customHeight="1">
      <c r="A61" s="227"/>
      <c r="B61" s="324"/>
      <c r="C61" s="285"/>
      <c r="D61" s="216" t="s">
        <v>269</v>
      </c>
      <c r="E61" s="217"/>
      <c r="F61" s="217"/>
      <c r="G61" s="273"/>
      <c r="H61" s="128"/>
      <c r="I61" s="87"/>
      <c r="J61" s="87" t="s">
        <v>80</v>
      </c>
      <c r="K61" s="87"/>
      <c r="L61" s="87"/>
      <c r="M61" s="87"/>
      <c r="N61" s="87"/>
      <c r="O61" s="87"/>
      <c r="P61" s="87"/>
      <c r="Q61" s="87"/>
      <c r="R61" s="87"/>
      <c r="S61" s="87"/>
      <c r="T61" s="87"/>
      <c r="U61" s="87"/>
      <c r="V61" s="87"/>
      <c r="W61" s="87"/>
      <c r="X61" s="87"/>
      <c r="Y61" s="87"/>
      <c r="Z61" s="87"/>
      <c r="AA61" s="87"/>
      <c r="AB61" s="87"/>
      <c r="AC61" s="87"/>
      <c r="AD61" s="87"/>
      <c r="AE61" s="87"/>
      <c r="AF61" s="82"/>
    </row>
    <row r="62" spans="1:32" s="17" customFormat="1" ht="11.25" customHeight="1">
      <c r="A62" s="227"/>
      <c r="B62" s="324"/>
      <c r="C62" s="285"/>
      <c r="D62" s="216" t="s">
        <v>163</v>
      </c>
      <c r="E62" s="217"/>
      <c r="F62" s="217"/>
      <c r="G62" s="273"/>
      <c r="H62" s="128"/>
      <c r="I62" s="87" t="s">
        <v>80</v>
      </c>
      <c r="J62" s="87" t="s">
        <v>80</v>
      </c>
      <c r="K62" s="87"/>
      <c r="L62" s="87" t="s">
        <v>80</v>
      </c>
      <c r="M62" s="87"/>
      <c r="N62" s="87"/>
      <c r="O62" s="87"/>
      <c r="P62" s="87"/>
      <c r="Q62" s="87"/>
      <c r="R62" s="87"/>
      <c r="S62" s="87"/>
      <c r="T62" s="87"/>
      <c r="U62" s="87"/>
      <c r="V62" s="87"/>
      <c r="W62" s="87"/>
      <c r="X62" s="87"/>
      <c r="Y62" s="87"/>
      <c r="Z62" s="87"/>
      <c r="AA62" s="87"/>
      <c r="AB62" s="87"/>
      <c r="AC62" s="87"/>
      <c r="AD62" s="87"/>
      <c r="AE62" s="87"/>
      <c r="AF62" s="82"/>
    </row>
    <row r="63" spans="1:32" s="17" customFormat="1" ht="13.5" customHeight="1">
      <c r="A63" s="227"/>
      <c r="B63" s="324"/>
      <c r="C63" s="216" t="s">
        <v>270</v>
      </c>
      <c r="D63" s="217"/>
      <c r="E63" s="217"/>
      <c r="F63" s="217"/>
      <c r="G63" s="273"/>
      <c r="H63" s="128" t="s">
        <v>80</v>
      </c>
      <c r="I63" s="87" t="s">
        <v>80</v>
      </c>
      <c r="J63" s="87" t="s">
        <v>80</v>
      </c>
      <c r="K63" s="87" t="s">
        <v>231</v>
      </c>
      <c r="L63" s="87" t="s">
        <v>231</v>
      </c>
      <c r="M63" s="87"/>
      <c r="N63" s="87"/>
      <c r="O63" s="87"/>
      <c r="P63" s="87"/>
      <c r="Q63" s="87"/>
      <c r="R63" s="87"/>
      <c r="S63" s="87"/>
      <c r="T63" s="87"/>
      <c r="U63" s="87"/>
      <c r="V63" s="87"/>
      <c r="W63" s="87"/>
      <c r="X63" s="87"/>
      <c r="Y63" s="87"/>
      <c r="Z63" s="87"/>
      <c r="AA63" s="87"/>
      <c r="AB63" s="87"/>
      <c r="AC63" s="87"/>
      <c r="AD63" s="87"/>
      <c r="AE63" s="87"/>
      <c r="AF63" s="121"/>
    </row>
    <row r="64" spans="1:32" s="17" customFormat="1" ht="13.5" customHeight="1" thickBot="1">
      <c r="A64" s="227"/>
      <c r="B64" s="324"/>
      <c r="C64" s="216" t="s">
        <v>79</v>
      </c>
      <c r="D64" s="217"/>
      <c r="E64" s="217"/>
      <c r="F64" s="217"/>
      <c r="G64" s="273"/>
      <c r="H64" s="128"/>
      <c r="I64" s="87"/>
      <c r="J64" s="87"/>
      <c r="K64" s="87"/>
      <c r="L64" s="87"/>
      <c r="M64" s="87" t="s">
        <v>80</v>
      </c>
      <c r="N64" s="87"/>
      <c r="O64" s="87"/>
      <c r="P64" s="87"/>
      <c r="Q64" s="87"/>
      <c r="R64" s="87"/>
      <c r="S64" s="87"/>
      <c r="T64" s="87"/>
      <c r="U64" s="87"/>
      <c r="V64" s="87"/>
      <c r="W64" s="87"/>
      <c r="X64" s="87"/>
      <c r="Y64" s="87"/>
      <c r="Z64" s="87"/>
      <c r="AA64" s="87"/>
      <c r="AB64" s="87"/>
      <c r="AC64" s="87"/>
      <c r="AD64" s="87"/>
      <c r="AE64" s="87"/>
      <c r="AF64" s="121"/>
    </row>
    <row r="65" spans="1:32" s="17" customFormat="1" ht="24" customHeight="1">
      <c r="A65" s="218" t="s">
        <v>155</v>
      </c>
      <c r="B65" s="220"/>
      <c r="C65" s="221"/>
      <c r="D65" s="221"/>
      <c r="E65" s="221"/>
      <c r="F65" s="222"/>
      <c r="G65" s="38" t="s">
        <v>154</v>
      </c>
      <c r="H65" s="130" t="s">
        <v>81</v>
      </c>
      <c r="I65" s="37" t="s">
        <v>81</v>
      </c>
      <c r="J65" s="37" t="s">
        <v>81</v>
      </c>
      <c r="K65" s="37" t="s">
        <v>81</v>
      </c>
      <c r="L65" s="37" t="s">
        <v>81</v>
      </c>
      <c r="M65" s="37" t="s">
        <v>82</v>
      </c>
      <c r="N65" s="37"/>
      <c r="O65" s="37"/>
      <c r="P65" s="37"/>
      <c r="Q65" s="37"/>
      <c r="R65" s="37"/>
      <c r="S65" s="37"/>
      <c r="T65" s="37"/>
      <c r="U65" s="37"/>
      <c r="V65" s="37"/>
      <c r="W65" s="37"/>
      <c r="X65" s="37"/>
      <c r="Y65" s="37"/>
      <c r="Z65" s="37"/>
      <c r="AA65" s="37"/>
      <c r="AB65" s="37"/>
      <c r="AC65" s="37"/>
      <c r="AD65" s="37"/>
      <c r="AE65" s="37"/>
      <c r="AF65" s="38"/>
    </row>
    <row r="66" spans="1:32" s="17" customFormat="1" ht="27" customHeight="1">
      <c r="A66" s="219"/>
      <c r="B66" s="223"/>
      <c r="C66" s="224"/>
      <c r="D66" s="224"/>
      <c r="E66" s="224"/>
      <c r="F66" s="225"/>
      <c r="G66" s="131" t="s">
        <v>152</v>
      </c>
      <c r="H66" s="132"/>
      <c r="I66" s="74"/>
      <c r="J66" s="74"/>
      <c r="K66" s="74"/>
      <c r="L66" s="74"/>
      <c r="M66" s="74"/>
      <c r="N66" s="74"/>
      <c r="O66" s="74"/>
      <c r="P66" s="74"/>
      <c r="Q66" s="74"/>
      <c r="R66" s="74"/>
      <c r="S66" s="74"/>
      <c r="T66" s="74"/>
      <c r="U66" s="74"/>
      <c r="V66" s="74"/>
      <c r="W66" s="74"/>
      <c r="X66" s="74"/>
      <c r="Y66" s="74"/>
      <c r="Z66" s="74"/>
      <c r="AA66" s="74"/>
      <c r="AB66" s="74"/>
      <c r="AC66" s="74"/>
      <c r="AD66" s="74"/>
      <c r="AE66" s="74"/>
      <c r="AF66" s="42"/>
    </row>
    <row r="67" spans="1:32" s="17" customFormat="1" ht="27" customHeight="1">
      <c r="A67" s="219"/>
      <c r="B67" s="223"/>
      <c r="C67" s="224"/>
      <c r="D67" s="224"/>
      <c r="E67" s="224"/>
      <c r="F67" s="225"/>
      <c r="G67" s="131" t="s">
        <v>151</v>
      </c>
      <c r="H67" s="133"/>
      <c r="I67" s="44"/>
      <c r="J67" s="44"/>
      <c r="K67" s="44"/>
      <c r="L67" s="44"/>
      <c r="M67" s="44"/>
      <c r="N67" s="44"/>
      <c r="O67" s="44"/>
      <c r="P67" s="44"/>
      <c r="Q67" s="44"/>
      <c r="R67" s="44"/>
      <c r="S67" s="44"/>
      <c r="T67" s="44"/>
      <c r="U67" s="44"/>
      <c r="V67" s="44"/>
      <c r="W67" s="44"/>
      <c r="X67" s="44"/>
      <c r="Y67" s="44"/>
      <c r="Z67" s="44"/>
      <c r="AA67" s="44"/>
      <c r="AB67" s="44"/>
      <c r="AC67" s="44"/>
      <c r="AD67" s="44"/>
      <c r="AE67" s="44"/>
      <c r="AF67" s="45"/>
    </row>
    <row r="68" spans="1:32" s="17" customFormat="1" ht="24.75" customHeight="1">
      <c r="A68" s="219"/>
      <c r="B68" s="223"/>
      <c r="C68" s="224"/>
      <c r="D68" s="224"/>
      <c r="E68" s="224"/>
      <c r="F68" s="225"/>
      <c r="G68" s="42" t="s">
        <v>150</v>
      </c>
      <c r="H68" s="132"/>
      <c r="I68" s="74"/>
      <c r="J68" s="74"/>
      <c r="K68" s="74"/>
      <c r="L68" s="74"/>
      <c r="M68" s="74"/>
      <c r="N68" s="74"/>
      <c r="O68" s="74"/>
      <c r="P68" s="74"/>
      <c r="Q68" s="74"/>
      <c r="R68" s="74"/>
      <c r="S68" s="74"/>
      <c r="T68" s="74"/>
      <c r="U68" s="74"/>
      <c r="V68" s="74"/>
      <c r="W68" s="74"/>
      <c r="X68" s="74"/>
      <c r="Y68" s="74"/>
      <c r="Z68" s="74"/>
      <c r="AA68" s="74"/>
      <c r="AB68" s="74"/>
      <c r="AC68" s="74"/>
      <c r="AD68" s="74"/>
      <c r="AE68" s="74"/>
      <c r="AF68" s="42"/>
    </row>
    <row r="69" spans="1:32" s="17" customFormat="1" ht="24.75" customHeight="1">
      <c r="A69" s="258" t="s">
        <v>149</v>
      </c>
      <c r="B69" s="349" t="s">
        <v>148</v>
      </c>
      <c r="C69" s="350"/>
      <c r="D69" s="350"/>
      <c r="E69" s="351"/>
      <c r="F69" s="261" t="str">
        <f>GetBugSheetName()</f>
        <v>Edit_Logout_</v>
      </c>
      <c r="G69" s="262"/>
      <c r="H69" s="135"/>
      <c r="I69" s="53"/>
      <c r="J69" s="53"/>
      <c r="K69" s="53"/>
      <c r="L69" s="53"/>
      <c r="M69" s="53"/>
      <c r="N69" s="53"/>
      <c r="O69" s="53"/>
      <c r="P69" s="53"/>
      <c r="Q69" s="53"/>
      <c r="R69" s="53"/>
      <c r="S69" s="53"/>
      <c r="T69" s="53"/>
      <c r="U69" s="53"/>
      <c r="V69" s="53"/>
      <c r="W69" s="53"/>
      <c r="X69" s="53"/>
      <c r="Y69" s="53"/>
      <c r="Z69" s="53"/>
      <c r="AA69" s="53"/>
      <c r="AB69" s="53"/>
      <c r="AC69" s="53"/>
      <c r="AD69" s="53"/>
      <c r="AE69" s="53"/>
      <c r="AF69" s="54"/>
    </row>
    <row r="70" spans="1:32" s="17" customFormat="1" ht="36" customHeight="1" thickBot="1">
      <c r="A70" s="259"/>
      <c r="B70" s="246" t="s">
        <v>147</v>
      </c>
      <c r="C70" s="247"/>
      <c r="D70" s="247"/>
      <c r="E70" s="248"/>
      <c r="F70" s="246"/>
      <c r="G70" s="263"/>
      <c r="H70" s="136"/>
      <c r="I70" s="55"/>
      <c r="J70" s="55"/>
      <c r="K70" s="55"/>
      <c r="L70" s="55"/>
      <c r="M70" s="55"/>
      <c r="N70" s="55"/>
      <c r="O70" s="55"/>
      <c r="P70" s="55"/>
      <c r="Q70" s="55"/>
      <c r="R70" s="55"/>
      <c r="S70" s="55" t="str">
        <f t="shared" ref="S70:AF70" si="1">IF(S69="","",(SUM(LEN(S69)-LEN(SUBSTITUTE(S69,",","")))/LEN(",")) + 1 )</f>
        <v/>
      </c>
      <c r="T70" s="55" t="str">
        <f t="shared" si="1"/>
        <v/>
      </c>
      <c r="U70" s="55" t="str">
        <f t="shared" si="1"/>
        <v/>
      </c>
      <c r="V70" s="55" t="str">
        <f t="shared" si="1"/>
        <v/>
      </c>
      <c r="W70" s="55" t="str">
        <f t="shared" si="1"/>
        <v/>
      </c>
      <c r="X70" s="55" t="str">
        <f t="shared" si="1"/>
        <v/>
      </c>
      <c r="Y70" s="55" t="str">
        <f t="shared" si="1"/>
        <v/>
      </c>
      <c r="Z70" s="55" t="str">
        <f t="shared" si="1"/>
        <v/>
      </c>
      <c r="AA70" s="55" t="str">
        <f t="shared" si="1"/>
        <v/>
      </c>
      <c r="AB70" s="55" t="str">
        <f t="shared" si="1"/>
        <v/>
      </c>
      <c r="AC70" s="55" t="str">
        <f t="shared" si="1"/>
        <v/>
      </c>
      <c r="AD70" s="55" t="str">
        <f t="shared" si="1"/>
        <v/>
      </c>
      <c r="AE70" s="55" t="str">
        <f t="shared" si="1"/>
        <v/>
      </c>
      <c r="AF70" s="56" t="str">
        <f t="shared" si="1"/>
        <v/>
      </c>
    </row>
    <row r="71" spans="1:32" s="17" customFormat="1">
      <c r="H71" s="47"/>
      <c r="I71" s="47"/>
      <c r="J71" s="47"/>
      <c r="K71" s="47"/>
      <c r="L71" s="47"/>
      <c r="M71" s="47"/>
      <c r="N71" s="48"/>
      <c r="O71" s="49"/>
      <c r="P71" s="47"/>
      <c r="Q71" s="47"/>
      <c r="R71" s="47"/>
      <c r="S71" s="47"/>
      <c r="T71" s="47"/>
      <c r="U71" s="47"/>
      <c r="V71" s="47"/>
    </row>
  </sheetData>
  <sheetProtection insertRows="0"/>
  <protectedRanges>
    <protectedRange sqref="H65:AF69" name="Range3_1_1"/>
    <protectedRange sqref="H4:AF4 AD5:AF5 N22:AF24 AD33:AF41 H22:M32 H19:AF21 AF45:AF59 AD45:AE58 O40:Z41 AD27:AE27 AC33:AC38 AC40 AA41:AD41 H42:AF44 O29:AF32 O33:AB39 O64:AE64 Z9:Z10 AD60:AE63 O45:AC63 AF63:AF64 H40:J41 M33:M38 M40 K41:M41 H33:L39 J9:J10 H45:N64 H6:AF6 AA9:AF18 J12:J18 K9:Y18 H9:I18 Z12:Z18 H8:AF8 O27:AC28 AD28:AF28 O25:AE26 N25:N41 AF25:AF27" name="Range2_1_1"/>
    <protectedRange sqref="D43:G43" name="Range2_1_5_1"/>
    <protectedRange sqref="C44:G44 B44:B64" name="Range2_1_2"/>
    <protectedRange sqref="C45:G63" name="Range2_1_30"/>
    <protectedRange sqref="C64:G64" name="Range2_1_8_1_1"/>
    <protectedRange sqref="B1:O1 P2 T1 AC1:AF1 B2:E2" name="Range1_1_1"/>
    <protectedRange sqref="P2 AC2:AF2" name="Range1_1_1_1"/>
  </protectedRanges>
  <mergeCells count="95">
    <mergeCell ref="I2:O2"/>
    <mergeCell ref="P2:Z2"/>
    <mergeCell ref="AA2:AB2"/>
    <mergeCell ref="AC2:AF2"/>
    <mergeCell ref="B1:E1"/>
    <mergeCell ref="F1:O1"/>
    <mergeCell ref="P1:S1"/>
    <mergeCell ref="T1:Z1"/>
    <mergeCell ref="AA1:AB1"/>
    <mergeCell ref="AC1:AF1"/>
    <mergeCell ref="C8:G8"/>
    <mergeCell ref="E9:G9"/>
    <mergeCell ref="C10:G10"/>
    <mergeCell ref="C11:C12"/>
    <mergeCell ref="B2:E2"/>
    <mergeCell ref="F2:H2"/>
    <mergeCell ref="C23:G23"/>
    <mergeCell ref="D11:G11"/>
    <mergeCell ref="D12:G12"/>
    <mergeCell ref="C13:G13"/>
    <mergeCell ref="E14:G14"/>
    <mergeCell ref="C15:G15"/>
    <mergeCell ref="C16:C17"/>
    <mergeCell ref="D16:D17"/>
    <mergeCell ref="E16:G16"/>
    <mergeCell ref="E17:G17"/>
    <mergeCell ref="C18:G18"/>
    <mergeCell ref="E19:G19"/>
    <mergeCell ref="D20:G20"/>
    <mergeCell ref="C21:G21"/>
    <mergeCell ref="E22:G22"/>
    <mergeCell ref="C24:C29"/>
    <mergeCell ref="D24:G24"/>
    <mergeCell ref="E25:G25"/>
    <mergeCell ref="D26:G26"/>
    <mergeCell ref="E27:G27"/>
    <mergeCell ref="D28:G28"/>
    <mergeCell ref="E29:G29"/>
    <mergeCell ref="C42:G42"/>
    <mergeCell ref="C30:G30"/>
    <mergeCell ref="C31:C32"/>
    <mergeCell ref="D31:G31"/>
    <mergeCell ref="D32:G32"/>
    <mergeCell ref="C33:G33"/>
    <mergeCell ref="C34:C37"/>
    <mergeCell ref="D34:G34"/>
    <mergeCell ref="D35:G35"/>
    <mergeCell ref="D36:G36"/>
    <mergeCell ref="D37:G37"/>
    <mergeCell ref="C38:G38"/>
    <mergeCell ref="C39:C40"/>
    <mergeCell ref="D39:G39"/>
    <mergeCell ref="D40:G40"/>
    <mergeCell ref="C41:G41"/>
    <mergeCell ref="D43:G43"/>
    <mergeCell ref="A44:A64"/>
    <mergeCell ref="B44:G44"/>
    <mergeCell ref="B45:B64"/>
    <mergeCell ref="C45:G45"/>
    <mergeCell ref="C46:C62"/>
    <mergeCell ref="D46:G46"/>
    <mergeCell ref="D47:G47"/>
    <mergeCell ref="D48:G48"/>
    <mergeCell ref="D49:G49"/>
    <mergeCell ref="A4:A43"/>
    <mergeCell ref="B4:G4"/>
    <mergeCell ref="B5:G5"/>
    <mergeCell ref="B6:B43"/>
    <mergeCell ref="C6:G6"/>
    <mergeCell ref="E7:G7"/>
    <mergeCell ref="D61:G61"/>
    <mergeCell ref="D50:G50"/>
    <mergeCell ref="D51:G51"/>
    <mergeCell ref="D52:G52"/>
    <mergeCell ref="D53:G53"/>
    <mergeCell ref="D54:G54"/>
    <mergeCell ref="D55:G55"/>
    <mergeCell ref="D56:G56"/>
    <mergeCell ref="D57:G57"/>
    <mergeCell ref="D58:G58"/>
    <mergeCell ref="D59:G59"/>
    <mergeCell ref="D60:G60"/>
    <mergeCell ref="D62:G62"/>
    <mergeCell ref="C63:G63"/>
    <mergeCell ref="C64:G64"/>
    <mergeCell ref="A65:A68"/>
    <mergeCell ref="B65:F65"/>
    <mergeCell ref="B66:F66"/>
    <mergeCell ref="B67:F67"/>
    <mergeCell ref="B68:F68"/>
    <mergeCell ref="A69:A70"/>
    <mergeCell ref="B69:E69"/>
    <mergeCell ref="F69:G69"/>
    <mergeCell ref="B70:E70"/>
    <mergeCell ref="F70:G70"/>
  </mergeCells>
  <conditionalFormatting sqref="AF63:AF70 AD60:AD70 AD40:AD58 AE23:AE70 AF21:AF61 Z12:Z13 T27:AD29 X40:Z43 X33:AD39 AA40:AC64 Z10 W30:AD32 X44:X60 W33:W60 Y44:Z58 Y60:Z60 AA10:AF13 H21:AE22 H23:AD26 H65:AC70 H61:Z64 T30:V60 H27:S60 H3:AF9 H14:AF20 H10:Y13">
    <cfRule type="expression" dxfId="38" priority="11" stopIfTrue="1">
      <formula>H$68="NA"</formula>
    </cfRule>
    <cfRule type="expression" dxfId="37" priority="12" stopIfTrue="1">
      <formula>H$68="NG"</formula>
    </cfRule>
  </conditionalFormatting>
  <conditionalFormatting sqref="AD29">
    <cfRule type="expression" dxfId="36" priority="9" stopIfTrue="1">
      <formula>V$68="NA"</formula>
    </cfRule>
    <cfRule type="expression" dxfId="35" priority="10" stopIfTrue="1">
      <formula>V$68="NG"</formula>
    </cfRule>
  </conditionalFormatting>
  <conditionalFormatting sqref="Y59">
    <cfRule type="expression" dxfId="34" priority="7" stopIfTrue="1">
      <formula>Y$68="NA"</formula>
    </cfRule>
    <cfRule type="expression" dxfId="33" priority="8" stopIfTrue="1">
      <formula>Y$68="NG"</formula>
    </cfRule>
  </conditionalFormatting>
  <conditionalFormatting sqref="Z59">
    <cfRule type="expression" dxfId="32" priority="5" stopIfTrue="1">
      <formula>Z$68="NA"</formula>
    </cfRule>
    <cfRule type="expression" dxfId="31" priority="6" stopIfTrue="1">
      <formula>Z$68="NG"</formula>
    </cfRule>
  </conditionalFormatting>
  <conditionalFormatting sqref="I59">
    <cfRule type="expression" dxfId="30" priority="3" stopIfTrue="1">
      <formula>I$68="NA"</formula>
    </cfRule>
    <cfRule type="expression" dxfId="29" priority="4" stopIfTrue="1">
      <formula>I$68="NG"</formula>
    </cfRule>
  </conditionalFormatting>
  <conditionalFormatting sqref="J59">
    <cfRule type="expression" dxfId="28" priority="1" stopIfTrue="1">
      <formula>J$68="NA"</formula>
    </cfRule>
    <cfRule type="expression" dxfId="27" priority="2" stopIfTrue="1">
      <formula>J$68="NG"</formula>
    </cfRule>
  </conditionalFormatting>
  <dataValidations count="10">
    <dataValidation allowBlank="1" showInputMessage="1" showErrorMessage="1" promptTitle="Condition Type" prompt="N : Normal _x000a_A : Abnormal _x000a_B : Boundary" sqref="G65"/>
    <dataValidation allowBlank="1" showInputMessage="1" showErrorMessage="1" promptTitle="Enter" prompt="Name of the person who performed the test" sqref="G66"/>
    <dataValidation allowBlank="1" showInputMessage="1" showErrorMessage="1" promptTitle="Testing Date" prompt="Date on which test was performed in yyyy/mm/dd format" sqref="G67"/>
    <dataValidation allowBlank="1" showInputMessage="1" showErrorMessage="1" promptTitle="Test Result" prompt="OK : Result is OK      _x000a_NG : Result is not as expected_x000a_NA : Not Applicable      _x000a_PT : Testing Pending (as Data not available/ cannot be generated currently)" sqref="G68"/>
    <dataValidation allowBlank="1" showInputMessage="1" showErrorMessage="1" promptTitle="Bug ID" prompt="Unique ID throughout the project._x000a_For every Bug found during Test as well as Re-Test, a new Bug ID needs to be entered here (as a comma seperated value)" sqref="B69:E69"/>
    <dataValidation allowBlank="1" showInputMessage="1" showErrorMessage="1" promptTitle="PCL sheet name" prompt=" " sqref="F69:G69"/>
    <dataValidation type="list" allowBlank="1" showInputMessage="1" showErrorMessage="1" sqref="H68:AF68">
      <formula1>"OK, NG, NA, PT"</formula1>
    </dataValidation>
    <dataValidation type="list" allowBlank="1" showInputMessage="1" showErrorMessage="1" sqref="H65:AF65">
      <formula1>"N, A, B"</formula1>
    </dataValidation>
    <dataValidation allowBlank="1" showInputMessage="1" showErrorMessage="1" promptTitle="Check points" prompt="that need / need not be executed" sqref="A44:A64"/>
    <dataValidation allowBlank="1" showInputMessage="1" showErrorMessage="1" promptTitle="Input conditions" prompt="that need to be checked." sqref="A4:A43"/>
  </dataValidations>
  <hyperlinks>
    <hyperlink ref="E22" r:id="rId1"/>
    <hyperlink ref="E9" r:id="rId2"/>
  </hyperlinks>
  <printOptions horizontalCentered="1"/>
  <pageMargins left="0.55118110236220474" right="0.46" top="0.98425196850393704" bottom="0.98425196850393704" header="0.51181102362204722" footer="0.51181102362204722"/>
  <pageSetup paperSize="9" scale="35" orientation="portrait" r:id="rId3"/>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4"/>
  <legacyDrawing r:id="rId5"/>
</worksheet>
</file>

<file path=xl/worksheets/sheet15.xml><?xml version="1.0" encoding="utf-8"?>
<worksheet xmlns="http://schemas.openxmlformats.org/spreadsheetml/2006/main" xmlns:r="http://schemas.openxmlformats.org/officeDocument/2006/relationships">
  <sheetPr codeName="Sheet14"/>
  <dimension ref="A1:AF17"/>
  <sheetViews>
    <sheetView view="pageBreakPreview" zoomScale="85" zoomScaleNormal="70" workbookViewId="0">
      <pane xSplit="7" ySplit="3" topLeftCell="H4" activePane="bottomRight" state="frozen"/>
      <selection activeCell="B27" sqref="B27:G27"/>
      <selection pane="topRight" activeCell="B27" sqref="B27:G27"/>
      <selection pane="bottomLeft" activeCell="B27" sqref="B27:G27"/>
      <selection pane="bottomRight" activeCell="F16" sqref="F16:G16"/>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218</v>
      </c>
      <c r="B1" s="240" t="s">
        <v>217</v>
      </c>
      <c r="C1" s="241"/>
      <c r="D1" s="241"/>
      <c r="E1" s="242"/>
      <c r="F1" s="240" t="s">
        <v>216</v>
      </c>
      <c r="G1" s="241"/>
      <c r="H1" s="241"/>
      <c r="I1" s="241"/>
      <c r="J1" s="241"/>
      <c r="K1" s="241"/>
      <c r="L1" s="241"/>
      <c r="M1" s="241"/>
      <c r="N1" s="241"/>
      <c r="O1" s="242"/>
      <c r="P1" s="249" t="s">
        <v>215</v>
      </c>
      <c r="Q1" s="250"/>
      <c r="R1" s="250"/>
      <c r="S1" s="251"/>
      <c r="T1" s="240" t="s">
        <v>214</v>
      </c>
      <c r="U1" s="241"/>
      <c r="V1" s="241"/>
      <c r="W1" s="241"/>
      <c r="X1" s="241"/>
      <c r="Y1" s="241"/>
      <c r="Z1" s="242"/>
      <c r="AA1" s="252" t="s">
        <v>213</v>
      </c>
      <c r="AB1" s="252"/>
      <c r="AC1" s="253">
        <v>42089</v>
      </c>
      <c r="AD1" s="253"/>
      <c r="AE1" s="253"/>
      <c r="AF1" s="254"/>
    </row>
    <row r="2" spans="1:32" ht="20.100000000000001" customHeight="1" thickBot="1">
      <c r="A2" s="64" t="s">
        <v>212</v>
      </c>
      <c r="B2" s="243" t="s">
        <v>211</v>
      </c>
      <c r="C2" s="244"/>
      <c r="D2" s="244"/>
      <c r="E2" s="245"/>
      <c r="F2" s="243"/>
      <c r="G2" s="244"/>
      <c r="H2" s="245"/>
      <c r="I2" s="246" t="s">
        <v>123</v>
      </c>
      <c r="J2" s="247"/>
      <c r="K2" s="247"/>
      <c r="L2" s="247"/>
      <c r="M2" s="247"/>
      <c r="N2" s="247"/>
      <c r="O2" s="248"/>
      <c r="P2" s="243"/>
      <c r="Q2" s="244"/>
      <c r="R2" s="244"/>
      <c r="S2" s="244"/>
      <c r="T2" s="244"/>
      <c r="U2" s="244"/>
      <c r="V2" s="244"/>
      <c r="W2" s="244"/>
      <c r="X2" s="244"/>
      <c r="Y2" s="244"/>
      <c r="Z2" s="245"/>
      <c r="AA2" s="255" t="s">
        <v>210</v>
      </c>
      <c r="AB2" s="256"/>
      <c r="AC2" s="243" t="s">
        <v>299</v>
      </c>
      <c r="AD2" s="244"/>
      <c r="AE2" s="244"/>
      <c r="AF2" s="257"/>
    </row>
    <row r="3" spans="1:32" ht="37.5" customHeight="1" thickBot="1">
      <c r="A3" s="66" t="s">
        <v>209</v>
      </c>
      <c r="B3" s="10"/>
      <c r="C3" s="10"/>
      <c r="D3" s="10"/>
      <c r="E3" s="10"/>
      <c r="F3" s="10"/>
      <c r="G3" s="65" t="s">
        <v>208</v>
      </c>
      <c r="H3" s="11">
        <f>IF(COUNTA(H4:H11)&gt;0,1,"")</f>
        <v>1</v>
      </c>
      <c r="I3" s="12">
        <f t="shared" ref="I3:AF3" si="0">IF(COUNTA(I4:I11)&gt;0,IF(H3&gt;0,H3+1,""),"")</f>
        <v>2</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232" t="s">
        <v>207</v>
      </c>
      <c r="B4" s="313" t="s">
        <v>230</v>
      </c>
      <c r="C4" s="313"/>
      <c r="D4" s="313"/>
      <c r="E4" s="313"/>
      <c r="F4" s="313"/>
      <c r="G4" s="314"/>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233"/>
      <c r="B5" s="268" t="s">
        <v>143</v>
      </c>
      <c r="C5" s="315"/>
      <c r="D5" s="315"/>
      <c r="E5" s="315"/>
      <c r="F5" s="315"/>
      <c r="G5" s="316"/>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233"/>
      <c r="B6" s="100"/>
      <c r="C6" s="320" t="s">
        <v>144</v>
      </c>
      <c r="D6" s="320"/>
      <c r="E6" s="320"/>
      <c r="F6" s="320"/>
      <c r="G6" s="336"/>
      <c r="H6" s="18" t="s">
        <v>80</v>
      </c>
      <c r="I6" s="19"/>
      <c r="J6" s="19"/>
      <c r="K6" s="19"/>
      <c r="L6" s="19"/>
      <c r="M6" s="19"/>
      <c r="N6" s="19"/>
      <c r="O6" s="19"/>
      <c r="P6" s="19"/>
      <c r="Q6" s="19"/>
      <c r="R6" s="19"/>
      <c r="S6" s="19"/>
      <c r="T6" s="19"/>
      <c r="U6" s="19"/>
      <c r="V6" s="19"/>
      <c r="W6" s="19"/>
      <c r="X6" s="19"/>
      <c r="Y6" s="19"/>
      <c r="Z6" s="19"/>
      <c r="AA6" s="19"/>
      <c r="AB6" s="19"/>
      <c r="AC6" s="19"/>
      <c r="AD6" s="19"/>
      <c r="AE6" s="19"/>
      <c r="AF6" s="20"/>
    </row>
    <row r="7" spans="1:32" s="17" customFormat="1" ht="13.5" customHeight="1" thickBot="1">
      <c r="A7" s="233"/>
      <c r="B7" s="333" t="s">
        <v>65</v>
      </c>
      <c r="C7" s="334"/>
      <c r="D7" s="334"/>
      <c r="E7" s="334"/>
      <c r="F7" s="334"/>
      <c r="G7" s="335"/>
      <c r="H7" s="22"/>
      <c r="I7" s="23" t="s">
        <v>80</v>
      </c>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226" t="s">
        <v>181</v>
      </c>
      <c r="B8" s="271" t="s">
        <v>66</v>
      </c>
      <c r="C8" s="272"/>
      <c r="D8" s="272"/>
      <c r="E8" s="272"/>
      <c r="F8" s="272"/>
      <c r="G8" s="364"/>
      <c r="H8" s="25"/>
      <c r="I8" s="26"/>
      <c r="J8" s="26"/>
      <c r="K8" s="26"/>
      <c r="L8" s="26"/>
      <c r="M8" s="26"/>
      <c r="N8" s="26"/>
      <c r="O8" s="26"/>
      <c r="P8" s="26"/>
      <c r="Q8" s="26"/>
      <c r="R8" s="26"/>
      <c r="S8" s="26"/>
      <c r="T8" s="26"/>
      <c r="U8" s="26"/>
      <c r="V8" s="26"/>
      <c r="W8" s="26"/>
      <c r="X8" s="26"/>
      <c r="Y8" s="26"/>
      <c r="Z8" s="26"/>
      <c r="AA8" s="26"/>
      <c r="AB8" s="26"/>
      <c r="AC8" s="26"/>
      <c r="AD8" s="26"/>
      <c r="AE8" s="26"/>
      <c r="AF8" s="27"/>
    </row>
    <row r="9" spans="1:32" s="17" customFormat="1" ht="13.5" customHeight="1">
      <c r="A9" s="227"/>
      <c r="B9" s="320"/>
      <c r="C9" s="216" t="s">
        <v>145</v>
      </c>
      <c r="D9" s="217"/>
      <c r="E9" s="217"/>
      <c r="F9" s="217"/>
      <c r="G9" s="273"/>
      <c r="H9" s="86" t="s">
        <v>80</v>
      </c>
      <c r="I9" s="87"/>
      <c r="J9" s="87"/>
      <c r="K9" s="87"/>
      <c r="L9" s="87"/>
      <c r="M9" s="87"/>
      <c r="N9" s="87"/>
      <c r="O9" s="87"/>
      <c r="P9" s="87"/>
      <c r="Q9" s="87"/>
      <c r="R9" s="87"/>
      <c r="S9" s="87"/>
      <c r="T9" s="87"/>
      <c r="U9" s="87"/>
      <c r="V9" s="87"/>
      <c r="W9" s="87"/>
      <c r="X9" s="87"/>
      <c r="Y9" s="87"/>
      <c r="Z9" s="87"/>
      <c r="AA9" s="87"/>
      <c r="AB9" s="87"/>
      <c r="AC9" s="87"/>
      <c r="AD9" s="87"/>
      <c r="AE9" s="87"/>
      <c r="AF9" s="121"/>
    </row>
    <row r="10" spans="1:32" s="17" customFormat="1" ht="13.5" customHeight="1" thickBot="1">
      <c r="A10" s="227"/>
      <c r="B10" s="365"/>
      <c r="C10" s="216" t="s">
        <v>146</v>
      </c>
      <c r="D10" s="217"/>
      <c r="E10" s="217"/>
      <c r="F10" s="217"/>
      <c r="G10" s="273"/>
      <c r="H10" s="22"/>
      <c r="I10" s="23" t="s">
        <v>80</v>
      </c>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24" customHeight="1">
      <c r="A11" s="218" t="s">
        <v>155</v>
      </c>
      <c r="B11" s="220"/>
      <c r="C11" s="221"/>
      <c r="D11" s="221"/>
      <c r="E11" s="221"/>
      <c r="F11" s="222"/>
      <c r="G11" s="35" t="s">
        <v>154</v>
      </c>
      <c r="H11" s="36" t="s">
        <v>81</v>
      </c>
      <c r="I11" s="37" t="s">
        <v>82</v>
      </c>
      <c r="J11" s="37"/>
      <c r="K11" s="37"/>
      <c r="L11" s="37"/>
      <c r="M11" s="37"/>
      <c r="N11" s="37"/>
      <c r="O11" s="37"/>
      <c r="P11" s="37"/>
      <c r="Q11" s="37"/>
      <c r="R11" s="37"/>
      <c r="S11" s="37"/>
      <c r="T11" s="37"/>
      <c r="U11" s="37"/>
      <c r="V11" s="37"/>
      <c r="W11" s="37"/>
      <c r="X11" s="37"/>
      <c r="Y11" s="37"/>
      <c r="Z11" s="37"/>
      <c r="AA11" s="37"/>
      <c r="AB11" s="37"/>
      <c r="AC11" s="37"/>
      <c r="AD11" s="37"/>
      <c r="AE11" s="37"/>
      <c r="AF11" s="38"/>
    </row>
    <row r="12" spans="1:32" s="17" customFormat="1" ht="27" customHeight="1">
      <c r="A12" s="219"/>
      <c r="B12" s="223"/>
      <c r="C12" s="224"/>
      <c r="D12" s="224"/>
      <c r="E12" s="224"/>
      <c r="F12" s="225"/>
      <c r="G12" s="39" t="s">
        <v>152</v>
      </c>
      <c r="H12" s="40"/>
      <c r="I12" s="74"/>
      <c r="J12" s="74"/>
      <c r="K12" s="74"/>
      <c r="L12" s="74"/>
      <c r="M12" s="74"/>
      <c r="N12" s="74"/>
      <c r="O12" s="74"/>
      <c r="P12" s="74"/>
      <c r="Q12" s="74"/>
      <c r="R12" s="74"/>
      <c r="S12" s="74"/>
      <c r="T12" s="74"/>
      <c r="U12" s="74"/>
      <c r="V12" s="74"/>
      <c r="W12" s="74"/>
      <c r="X12" s="74"/>
      <c r="Y12" s="74"/>
      <c r="Z12" s="74"/>
      <c r="AA12" s="74"/>
      <c r="AB12" s="74"/>
      <c r="AC12" s="74"/>
      <c r="AD12" s="74"/>
      <c r="AE12" s="74"/>
      <c r="AF12" s="42"/>
    </row>
    <row r="13" spans="1:32" s="17" customFormat="1" ht="27" customHeight="1">
      <c r="A13" s="219"/>
      <c r="B13" s="223"/>
      <c r="C13" s="224"/>
      <c r="D13" s="224"/>
      <c r="E13" s="224"/>
      <c r="F13" s="225"/>
      <c r="G13" s="39" t="s">
        <v>151</v>
      </c>
      <c r="H13" s="43"/>
      <c r="I13" s="44"/>
      <c r="J13" s="44"/>
      <c r="K13" s="44"/>
      <c r="L13" s="44"/>
      <c r="M13" s="44"/>
      <c r="N13" s="44"/>
      <c r="O13" s="44"/>
      <c r="P13" s="44"/>
      <c r="Q13" s="44"/>
      <c r="R13" s="44"/>
      <c r="S13" s="44"/>
      <c r="T13" s="44"/>
      <c r="U13" s="44"/>
      <c r="V13" s="44"/>
      <c r="W13" s="44"/>
      <c r="X13" s="44"/>
      <c r="Y13" s="44"/>
      <c r="Z13" s="44"/>
      <c r="AA13" s="44"/>
      <c r="AB13" s="44"/>
      <c r="AC13" s="44"/>
      <c r="AD13" s="44"/>
      <c r="AE13" s="44"/>
      <c r="AF13" s="45"/>
    </row>
    <row r="14" spans="1:32" s="17" customFormat="1" ht="24.75" customHeight="1">
      <c r="A14" s="219"/>
      <c r="B14" s="223"/>
      <c r="C14" s="224"/>
      <c r="D14" s="224"/>
      <c r="E14" s="224"/>
      <c r="F14" s="225"/>
      <c r="G14" s="46" t="s">
        <v>150</v>
      </c>
      <c r="H14" s="40"/>
      <c r="I14" s="74"/>
      <c r="J14" s="74"/>
      <c r="K14" s="74"/>
      <c r="L14" s="74"/>
      <c r="M14" s="74"/>
      <c r="N14" s="74"/>
      <c r="O14" s="74"/>
      <c r="P14" s="74"/>
      <c r="Q14" s="74"/>
      <c r="R14" s="74"/>
      <c r="S14" s="74"/>
      <c r="T14" s="74"/>
      <c r="U14" s="74"/>
      <c r="V14" s="74"/>
      <c r="W14" s="74"/>
      <c r="X14" s="74"/>
      <c r="Y14" s="74"/>
      <c r="Z14" s="74"/>
      <c r="AA14" s="74"/>
      <c r="AB14" s="74"/>
      <c r="AC14" s="74"/>
      <c r="AD14" s="74"/>
      <c r="AE14" s="74"/>
      <c r="AF14" s="42"/>
    </row>
    <row r="15" spans="1:32" s="17" customFormat="1" ht="24.75" customHeight="1">
      <c r="A15" s="258" t="s">
        <v>149</v>
      </c>
      <c r="B15" s="260" t="s">
        <v>148</v>
      </c>
      <c r="C15" s="260"/>
      <c r="D15" s="260"/>
      <c r="E15" s="260"/>
      <c r="F15" s="261" t="str">
        <f>GetBugSheetName()</f>
        <v>Edit_Logout_</v>
      </c>
      <c r="G15" s="262"/>
      <c r="H15" s="60"/>
      <c r="I15" s="53"/>
      <c r="J15" s="53"/>
      <c r="K15" s="53"/>
      <c r="L15" s="53"/>
      <c r="M15" s="53"/>
      <c r="N15" s="53"/>
      <c r="O15" s="53"/>
      <c r="P15" s="53"/>
      <c r="Q15" s="53"/>
      <c r="R15" s="53"/>
      <c r="S15" s="53"/>
      <c r="T15" s="53"/>
      <c r="U15" s="53"/>
      <c r="V15" s="53"/>
      <c r="W15" s="53"/>
      <c r="X15" s="53"/>
      <c r="Y15" s="53"/>
      <c r="Z15" s="53"/>
      <c r="AA15" s="53"/>
      <c r="AB15" s="53"/>
      <c r="AC15" s="53"/>
      <c r="AD15" s="53"/>
      <c r="AE15" s="53"/>
      <c r="AF15" s="54"/>
    </row>
    <row r="16" spans="1:32" s="17" customFormat="1" ht="36" customHeight="1" thickBot="1">
      <c r="A16" s="259"/>
      <c r="B16" s="246" t="s">
        <v>147</v>
      </c>
      <c r="C16" s="247"/>
      <c r="D16" s="247"/>
      <c r="E16" s="248"/>
      <c r="F16" s="246"/>
      <c r="G16" s="263"/>
      <c r="H16" s="61"/>
      <c r="I16" s="55"/>
      <c r="J16" s="55"/>
      <c r="K16" s="55"/>
      <c r="L16" s="55"/>
      <c r="M16" s="55"/>
      <c r="N16" s="55"/>
      <c r="O16" s="55"/>
      <c r="P16" s="55"/>
      <c r="Q16" s="55"/>
      <c r="R16" s="55"/>
      <c r="S16" s="55" t="str">
        <f t="shared" ref="S16:AF16" si="1">IF(S15="","",(SUM(LEN(S15)-LEN(SUBSTITUTE(S15,",","")))/LEN(",")) + 1 )</f>
        <v/>
      </c>
      <c r="T16" s="55" t="str">
        <f t="shared" si="1"/>
        <v/>
      </c>
      <c r="U16" s="55" t="str">
        <f t="shared" si="1"/>
        <v/>
      </c>
      <c r="V16" s="55" t="str">
        <f t="shared" si="1"/>
        <v/>
      </c>
      <c r="W16" s="55" t="str">
        <f t="shared" si="1"/>
        <v/>
      </c>
      <c r="X16" s="55" t="str">
        <f t="shared" si="1"/>
        <v/>
      </c>
      <c r="Y16" s="55" t="str">
        <f t="shared" si="1"/>
        <v/>
      </c>
      <c r="Z16" s="55" t="str">
        <f t="shared" si="1"/>
        <v/>
      </c>
      <c r="AA16" s="55" t="str">
        <f t="shared" si="1"/>
        <v/>
      </c>
      <c r="AB16" s="55" t="str">
        <f t="shared" si="1"/>
        <v/>
      </c>
      <c r="AC16" s="55" t="str">
        <f t="shared" si="1"/>
        <v/>
      </c>
      <c r="AD16" s="55" t="str">
        <f t="shared" si="1"/>
        <v/>
      </c>
      <c r="AE16" s="55" t="str">
        <f t="shared" si="1"/>
        <v/>
      </c>
      <c r="AF16" s="56" t="str">
        <f t="shared" si="1"/>
        <v/>
      </c>
    </row>
    <row r="17" spans="8:22" s="17" customFormat="1">
      <c r="H17" s="47"/>
      <c r="I17" s="47"/>
      <c r="J17" s="47"/>
      <c r="K17" s="47"/>
      <c r="L17" s="47"/>
      <c r="M17" s="47"/>
      <c r="N17" s="48"/>
      <c r="O17" s="49"/>
      <c r="P17" s="47"/>
      <c r="Q17" s="47"/>
      <c r="R17" s="47"/>
      <c r="S17" s="47"/>
      <c r="T17" s="47"/>
      <c r="U17" s="47"/>
      <c r="V17" s="47"/>
    </row>
  </sheetData>
  <sheetProtection insertRows="0"/>
  <protectedRanges>
    <protectedRange sqref="H11:AF15" name="Range3_1_1"/>
    <protectedRange sqref="H4:AF10" name="Range2_1_1"/>
    <protectedRange sqref="B1:O1 P2 T1 B2:E2" name="Range1_1_1"/>
    <protectedRange sqref="P2 AC2:AF2" name="Range1_1_1_1"/>
    <protectedRange sqref="B7 D5:G7 B5:C6" name="Range2_1_2"/>
    <protectedRange sqref="B4:G4" name="Range2_1_2_1"/>
    <protectedRange sqref="B8:G10" name="Range2_1_3"/>
    <protectedRange sqref="AC1:AF1" name="Range1_1_1_3"/>
  </protectedRanges>
  <mergeCells count="32">
    <mergeCell ref="AC2:AF2"/>
    <mergeCell ref="B1:E1"/>
    <mergeCell ref="F1:O1"/>
    <mergeCell ref="P1:S1"/>
    <mergeCell ref="T1:Z1"/>
    <mergeCell ref="AA1:AB1"/>
    <mergeCell ref="AC1:AF1"/>
    <mergeCell ref="B2:E2"/>
    <mergeCell ref="F2:H2"/>
    <mergeCell ref="I2:O2"/>
    <mergeCell ref="P2:Z2"/>
    <mergeCell ref="AA2:AB2"/>
    <mergeCell ref="A8:A10"/>
    <mergeCell ref="B8:G8"/>
    <mergeCell ref="B9:B10"/>
    <mergeCell ref="C9:G9"/>
    <mergeCell ref="C10:G10"/>
    <mergeCell ref="A4:A7"/>
    <mergeCell ref="B4:G4"/>
    <mergeCell ref="B5:G5"/>
    <mergeCell ref="C6:G6"/>
    <mergeCell ref="B7:G7"/>
    <mergeCell ref="A15:A16"/>
    <mergeCell ref="B15:E15"/>
    <mergeCell ref="F15:G15"/>
    <mergeCell ref="B16:E16"/>
    <mergeCell ref="F16:G16"/>
    <mergeCell ref="A11:A14"/>
    <mergeCell ref="B11:F11"/>
    <mergeCell ref="B12:F12"/>
    <mergeCell ref="B13:F13"/>
    <mergeCell ref="B14:F14"/>
  </mergeCells>
  <dataValidations count="10">
    <dataValidation allowBlank="1" showInputMessage="1" showErrorMessage="1" promptTitle="Check points" prompt="that need / need not be executed" sqref="A8:A10"/>
    <dataValidation allowBlank="1" showInputMessage="1" showErrorMessage="1" promptTitle="Input conditions" prompt="that need to be checked." sqref="A4:A7"/>
    <dataValidation allowBlank="1" showInputMessage="1" showErrorMessage="1" promptTitle="Condition Type" prompt="N : Normal _x000a_A : Abnormal _x000a_B : Boundary" sqref="G11"/>
    <dataValidation allowBlank="1" showInputMessage="1" showErrorMessage="1" promptTitle="Enter" prompt="Name of the person who performed the test" sqref="G12"/>
    <dataValidation allowBlank="1" showInputMessage="1" showErrorMessage="1" promptTitle="Testing Date" prompt="Date on which test was performed in yyyy/mm/dd format" sqref="G13"/>
    <dataValidation allowBlank="1" showInputMessage="1" showErrorMessage="1" promptTitle="Test Result" prompt="OK : Result is OK      _x000a_NG : Result is not as expected_x000a_NA : Not Applicable      _x000a_PT : Testing Pending (as Data not available/ cannot be generated currently)" sqref="G14"/>
    <dataValidation allowBlank="1" showInputMessage="1" showErrorMessage="1" promptTitle="Bug ID" prompt="Unique ID throughout the project._x000a_For every Bug found during Test as well as Re-Test, a new Bug ID needs to be entered here (as a comma seperated value)" sqref="B15:E15"/>
    <dataValidation allowBlank="1" showInputMessage="1" showErrorMessage="1" promptTitle="PCL sheet name" prompt=" " sqref="F15:G15"/>
    <dataValidation type="list" allowBlank="1" showInputMessage="1" showErrorMessage="1" sqref="H14:AF14">
      <formula1>"OK, NG, NA, PT"</formula1>
    </dataValidation>
    <dataValidation type="list" allowBlank="1" showInputMessage="1" showErrorMessage="1" sqref="H11:AF11">
      <formula1>"N, A, B"</formula1>
    </dataValidation>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16.xml><?xml version="1.0" encoding="utf-8"?>
<worksheet xmlns="http://schemas.openxmlformats.org/spreadsheetml/2006/main" xmlns:r="http://schemas.openxmlformats.org/officeDocument/2006/relationships">
  <dimension ref="C7:F20"/>
  <sheetViews>
    <sheetView workbookViewId="0">
      <selection activeCell="H18" sqref="H18"/>
    </sheetView>
  </sheetViews>
  <sheetFormatPr defaultRowHeight="13.5"/>
  <sheetData>
    <row r="7" spans="3:6" ht="18.75">
      <c r="C7" s="137" t="s">
        <v>286</v>
      </c>
      <c r="D7" s="138"/>
      <c r="E7" s="138"/>
      <c r="F7" s="138"/>
    </row>
    <row r="8" spans="3:6" ht="15">
      <c r="C8" s="138"/>
      <c r="D8" s="138"/>
      <c r="E8" s="138"/>
      <c r="F8" s="138"/>
    </row>
    <row r="9" spans="3:6" ht="15">
      <c r="C9" s="138" t="s">
        <v>275</v>
      </c>
      <c r="D9" s="138"/>
      <c r="E9" s="138"/>
      <c r="F9" s="138"/>
    </row>
    <row r="10" spans="3:6" ht="15">
      <c r="C10" s="138" t="s">
        <v>276</v>
      </c>
      <c r="D10" s="138"/>
      <c r="E10" s="138"/>
      <c r="F10" s="138"/>
    </row>
    <row r="11" spans="3:6" ht="15">
      <c r="C11" s="138" t="s">
        <v>274</v>
      </c>
      <c r="D11" s="138"/>
      <c r="E11" s="138"/>
      <c r="F11" s="138"/>
    </row>
    <row r="12" spans="3:6" ht="15">
      <c r="C12" s="138" t="s">
        <v>277</v>
      </c>
      <c r="D12" s="138"/>
      <c r="E12" s="138"/>
      <c r="F12" s="138"/>
    </row>
    <row r="13" spans="3:6" ht="15">
      <c r="C13" s="138" t="s">
        <v>278</v>
      </c>
      <c r="D13" s="138"/>
      <c r="E13" s="138"/>
      <c r="F13" s="138"/>
    </row>
    <row r="14" spans="3:6" ht="15">
      <c r="C14" s="138" t="s">
        <v>279</v>
      </c>
      <c r="D14" s="138"/>
      <c r="E14" s="138"/>
      <c r="F14" s="138"/>
    </row>
    <row r="15" spans="3:6" ht="15">
      <c r="C15" s="138" t="s">
        <v>280</v>
      </c>
      <c r="D15" s="138"/>
      <c r="E15" s="138"/>
      <c r="F15" s="138"/>
    </row>
    <row r="16" spans="3:6" ht="15">
      <c r="C16" s="138" t="s">
        <v>281</v>
      </c>
      <c r="D16" s="138"/>
      <c r="E16" s="138"/>
      <c r="F16" s="138"/>
    </row>
    <row r="17" spans="3:6" ht="15">
      <c r="C17" s="138" t="s">
        <v>282</v>
      </c>
      <c r="D17" s="138"/>
      <c r="E17" s="138"/>
      <c r="F17" s="138"/>
    </row>
    <row r="18" spans="3:6" ht="15">
      <c r="C18" s="138" t="s">
        <v>283</v>
      </c>
      <c r="D18" s="138"/>
      <c r="E18" s="138"/>
      <c r="F18" s="138"/>
    </row>
    <row r="19" spans="3:6" ht="15">
      <c r="C19" s="138" t="s">
        <v>284</v>
      </c>
      <c r="D19" s="138"/>
      <c r="E19" s="138"/>
      <c r="F19" s="138"/>
    </row>
    <row r="20" spans="3:6" ht="15">
      <c r="C20" s="138" t="s">
        <v>285</v>
      </c>
      <c r="D20" s="138"/>
      <c r="E20" s="138"/>
      <c r="F20" s="13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dimension ref="E5:J13"/>
  <sheetViews>
    <sheetView workbookViewId="0">
      <selection activeCell="E21" sqref="E21"/>
    </sheetView>
  </sheetViews>
  <sheetFormatPr defaultRowHeight="13.5"/>
  <sheetData>
    <row r="5" spans="5:10">
      <c r="F5" t="s">
        <v>322</v>
      </c>
    </row>
    <row r="7" spans="5:10">
      <c r="E7" t="s">
        <v>317</v>
      </c>
    </row>
    <row r="9" spans="5:10">
      <c r="E9" t="s">
        <v>318</v>
      </c>
      <c r="J9" t="s">
        <v>121</v>
      </c>
    </row>
    <row r="11" spans="5:10">
      <c r="E11" t="s">
        <v>319</v>
      </c>
    </row>
    <row r="13" spans="5:10">
      <c r="E13" t="s">
        <v>320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83</vt:i4>
      </vt:variant>
    </vt:vector>
  </HeadingPairs>
  <TitlesOfParts>
    <vt:vector size="100" baseType="lpstr">
      <vt:lpstr>Summary</vt:lpstr>
      <vt:lpstr>Template</vt:lpstr>
      <vt:lpstr>Page_Load</vt:lpstr>
      <vt:lpstr>Submit_Click</vt:lpstr>
      <vt:lpstr>Clear_Click</vt:lpstr>
      <vt:lpstr>Edit_Page_Load</vt:lpstr>
      <vt:lpstr>Edit_Click</vt:lpstr>
      <vt:lpstr>Edit_Logout</vt:lpstr>
      <vt:lpstr>Edit_PageLoad(Cat_Admin)</vt:lpstr>
      <vt:lpstr>Edit_Click (Cat_Admin)</vt:lpstr>
      <vt:lpstr>Edit_Logout (Cat_Admin)</vt:lpstr>
      <vt:lpstr>Update_Page_Load</vt:lpstr>
      <vt:lpstr>Update_Page_Load (2)</vt:lpstr>
      <vt:lpstr>Update_Click</vt:lpstr>
      <vt:lpstr>Update_Logout_Click</vt:lpstr>
      <vt:lpstr>Sheet1</vt:lpstr>
      <vt:lpstr>Sheet2</vt:lpstr>
      <vt:lpstr>Clear_Click!BugCount</vt:lpstr>
      <vt:lpstr>Edit_Click!BugCount</vt:lpstr>
      <vt:lpstr>'Edit_Click (Cat_Admin)'!BugCount</vt:lpstr>
      <vt:lpstr>Edit_Logout!BugCount</vt:lpstr>
      <vt:lpstr>'Edit_Logout (Cat_Admin)'!BugCount</vt:lpstr>
      <vt:lpstr>Edit_Page_Load!BugCount</vt:lpstr>
      <vt:lpstr>'Edit_PageLoad(Cat_Admin)'!BugCount</vt:lpstr>
      <vt:lpstr>Page_Load!BugCount</vt:lpstr>
      <vt:lpstr>Submit_Click!BugCount</vt:lpstr>
      <vt:lpstr>Update_Click!BugCount</vt:lpstr>
      <vt:lpstr>Update_Logout_Click!BugCount</vt:lpstr>
      <vt:lpstr>Update_Page_Load!BugCount</vt:lpstr>
      <vt:lpstr>'Update_Page_Load (2)'!BugCount</vt:lpstr>
      <vt:lpstr>BugCount</vt:lpstr>
      <vt:lpstr>Clear_Click!BugSheetName</vt:lpstr>
      <vt:lpstr>Edit_Click!BugSheetName</vt:lpstr>
      <vt:lpstr>'Edit_Click (Cat_Admin)'!BugSheetName</vt:lpstr>
      <vt:lpstr>Edit_Logout!BugSheetName</vt:lpstr>
      <vt:lpstr>'Edit_Logout (Cat_Admin)'!BugSheetName</vt:lpstr>
      <vt:lpstr>Edit_Page_Load!BugSheetName</vt:lpstr>
      <vt:lpstr>'Edit_PageLoad(Cat_Admin)'!BugSheetName</vt:lpstr>
      <vt:lpstr>Page_Load!BugSheetName</vt:lpstr>
      <vt:lpstr>Submit_Click!BugSheetName</vt:lpstr>
      <vt:lpstr>Update_Click!BugSheetName</vt:lpstr>
      <vt:lpstr>Update_Logout_Click!BugSheetName</vt:lpstr>
      <vt:lpstr>Update_Page_Load!BugSheetName</vt:lpstr>
      <vt:lpstr>'Update_Page_Load (2)'!BugSheetName</vt:lpstr>
      <vt:lpstr>BugSheetName</vt:lpstr>
      <vt:lpstr>NewPCL</vt:lpstr>
      <vt:lpstr>NewPCL_Row</vt:lpstr>
      <vt:lpstr>Clear_Click!Print_Area</vt:lpstr>
      <vt:lpstr>Edit_Click!Print_Area</vt:lpstr>
      <vt:lpstr>'Edit_Click (Cat_Admin)'!Print_Area</vt:lpstr>
      <vt:lpstr>Edit_Logout!Print_Area</vt:lpstr>
      <vt:lpstr>'Edit_Logout (Cat_Admin)'!Print_Area</vt:lpstr>
      <vt:lpstr>Edit_Page_Load!Print_Area</vt:lpstr>
      <vt:lpstr>'Edit_PageLoad(Cat_Admin)'!Print_Area</vt:lpstr>
      <vt:lpstr>Page_Load!Print_Area</vt:lpstr>
      <vt:lpstr>Submit_Click!Print_Area</vt:lpstr>
      <vt:lpstr>Summary!Print_Area</vt:lpstr>
      <vt:lpstr>Template!Print_Area</vt:lpstr>
      <vt:lpstr>Update_Click!Print_Area</vt:lpstr>
      <vt:lpstr>Update_Logout_Click!Print_Area</vt:lpstr>
      <vt:lpstr>Update_Page_Load!Print_Area</vt:lpstr>
      <vt:lpstr>'Update_Page_Load (2)'!Print_Area</vt:lpstr>
      <vt:lpstr>Clear_Click!Print_Titles</vt:lpstr>
      <vt:lpstr>Edit_Click!Print_Titles</vt:lpstr>
      <vt:lpstr>'Edit_Click (Cat_Admin)'!Print_Titles</vt:lpstr>
      <vt:lpstr>Edit_Logout!Print_Titles</vt:lpstr>
      <vt:lpstr>'Edit_Logout (Cat_Admin)'!Print_Titles</vt:lpstr>
      <vt:lpstr>Edit_Page_Load!Print_Titles</vt:lpstr>
      <vt:lpstr>'Edit_PageLoad(Cat_Admin)'!Print_Titles</vt:lpstr>
      <vt:lpstr>Page_Load!Print_Titles</vt:lpstr>
      <vt:lpstr>Submit_Click!Print_Titles</vt:lpstr>
      <vt:lpstr>Summary!Print_Titles</vt:lpstr>
      <vt:lpstr>Template!Print_Titles</vt:lpstr>
      <vt:lpstr>Update_Click!Print_Titles</vt:lpstr>
      <vt:lpstr>Update_Logout_Click!Print_Titles</vt:lpstr>
      <vt:lpstr>Update_Page_Load!Print_Titles</vt:lpstr>
      <vt:lpstr>'Update_Page_Load (2)'!Print_Titles</vt:lpstr>
      <vt:lpstr>SummaryTB</vt:lpstr>
      <vt:lpstr>SummaryTotal</vt:lpstr>
      <vt:lpstr>SummaryTRNA</vt:lpstr>
      <vt:lpstr>SummaryTRNG</vt:lpstr>
      <vt:lpstr>SummaryTROK</vt:lpstr>
      <vt:lpstr>SummaryTRPT</vt:lpstr>
      <vt:lpstr>SummaryTTC</vt:lpstr>
      <vt:lpstr>SummaryTTD</vt:lpstr>
      <vt:lpstr>SummaryTTND</vt:lpstr>
      <vt:lpstr>Clear_Click!TestResult</vt:lpstr>
      <vt:lpstr>Edit_Click!TestResult</vt:lpstr>
      <vt:lpstr>'Edit_Click (Cat_Admin)'!TestResult</vt:lpstr>
      <vt:lpstr>Edit_Logout!TestResult</vt:lpstr>
      <vt:lpstr>'Edit_Logout (Cat_Admin)'!TestResult</vt:lpstr>
      <vt:lpstr>Edit_Page_Load!TestResult</vt:lpstr>
      <vt:lpstr>'Edit_PageLoad(Cat_Admin)'!TestResult</vt:lpstr>
      <vt:lpstr>Page_Load!TestResult</vt:lpstr>
      <vt:lpstr>Submit_Click!TestResult</vt:lpstr>
      <vt:lpstr>Update_Click!TestResult</vt:lpstr>
      <vt:lpstr>Update_Logout_Click!TestResult</vt:lpstr>
      <vt:lpstr>Update_Page_Load!TestResult</vt:lpstr>
      <vt:lpstr>'Update_Page_Load (2)'!TestResult</vt:lpstr>
      <vt:lpstr>TestResult</vt:lpstr>
    </vt:vector>
  </TitlesOfParts>
  <Company>（株）日立情報システムズ</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北垣　敏治</dc:creator>
  <cp:lastModifiedBy>kishan</cp:lastModifiedBy>
  <cp:lastPrinted>2010-03-26T11:46:07Z</cp:lastPrinted>
  <dcterms:created xsi:type="dcterms:W3CDTF">2005-06-14T08:18:38Z</dcterms:created>
  <dcterms:modified xsi:type="dcterms:W3CDTF">2015-03-30T10:25:09Z</dcterms:modified>
</cp:coreProperties>
</file>