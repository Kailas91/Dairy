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D:\uks skillup\jdbc\Kishan\Skillup_Web\Pcl_servlets\Assignment6\"/>
    </mc:Choice>
  </mc:AlternateContent>
  <bookViews>
    <workbookView xWindow="-45" yWindow="525" windowWidth="12120" windowHeight="6330" tabRatio="511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3" r:id="rId5"/>
    <sheet name="Edit_Page_Load" sheetId="74" r:id="rId6"/>
    <sheet name="Edit_Click" sheetId="75" r:id="rId7"/>
    <sheet name="Edit_Logout" sheetId="76" r:id="rId8"/>
    <sheet name="Update_Page_Load" sheetId="77" r:id="rId9"/>
    <sheet name="Update_Page_Load (2)" sheetId="79" r:id="rId10"/>
    <sheet name="Update_Click" sheetId="80" r:id="rId11"/>
    <sheet name="Update_Logout_Click" sheetId="83" r:id="rId12"/>
    <sheet name="Sheet1" sheetId="86" r:id="rId13"/>
  </sheets>
  <functionGroups builtInGroupCount="18"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Clear_Click!$H$17:$AF$17</definedName>
    <definedName name="BugCount" localSheetId="6">Edit_Click!$H$33:$AF$33</definedName>
    <definedName name="BugCount" localSheetId="7">Edit_Logout!$H$16:$AF$16</definedName>
    <definedName name="BugCount" localSheetId="5">Edit_Page_Load!$H$31:$AF$31</definedName>
    <definedName name="BugCount" localSheetId="2">Page_Load!$H$34:$AF$34</definedName>
    <definedName name="BugCount" localSheetId="3">Submit_Click!$H$43:$AF$43</definedName>
    <definedName name="BugCount" localSheetId="10">Update_Click!$H$70:$AF$70</definedName>
    <definedName name="BugCount" localSheetId="11">Update_Logout_Click!$H$16:$AF$16</definedName>
    <definedName name="BugCount" localSheetId="8">Update_Page_Load!$H$73:$AF$73</definedName>
    <definedName name="BugCount" localSheetId="9">'Update_Page_Load (2)'!$H$73:$AF$73</definedName>
    <definedName name="BugCount">Template!$H$29:$AF$29</definedName>
    <definedName name="BugSheetName" localSheetId="4">Clear_Click!$F$16</definedName>
    <definedName name="BugSheetName" localSheetId="6">Edit_Click!$F$32</definedName>
    <definedName name="BugSheetName" localSheetId="7">Edit_Logout!$F$15</definedName>
    <definedName name="BugSheetName" localSheetId="5">Edit_Page_Load!$F$30</definedName>
    <definedName name="BugSheetName" localSheetId="2">Page_Load!$F$33</definedName>
    <definedName name="BugSheetName" localSheetId="3">Submit_Click!$F$42</definedName>
    <definedName name="BugSheetName" localSheetId="10">Update_Click!$F$69</definedName>
    <definedName name="BugSheetName" localSheetId="11">Update_Logout_Click!$F$15</definedName>
    <definedName name="BugSheetName" localSheetId="8">Update_Page_Load!$F$72</definedName>
    <definedName name="BugSheetName" localSheetId="9">'Update_Page_Load (2)'!$F$72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Summary!$20:$20</definedName>
    <definedName name="_xlnm.Print_Area" localSheetId="4">Clear_Click!$A$1:$AF$18</definedName>
    <definedName name="_xlnm.Print_Area" localSheetId="6">Edit_Click!$A$1:$AF$34</definedName>
    <definedName name="_xlnm.Print_Area" localSheetId="7">Edit_Logout!$A$1:$AF$17</definedName>
    <definedName name="_xlnm.Print_Area" localSheetId="5">Edit_Page_Load!$A$1:$AF$32</definedName>
    <definedName name="_xlnm.Print_Area" localSheetId="2">Page_Load!$A$1:$AF$35</definedName>
    <definedName name="_xlnm.Print_Area" localSheetId="3">Submit_Click!$A$1:$AF$44</definedName>
    <definedName name="_xlnm.Print_Area" localSheetId="0">Summary!$A$5:$AM$40</definedName>
    <definedName name="_xlnm.Print_Area" localSheetId="1">Template!$A$1:$AF$30</definedName>
    <definedName name="_xlnm.Print_Area" localSheetId="10">Update_Click!$A$1:$AF$71</definedName>
    <definedName name="_xlnm.Print_Area" localSheetId="11">Update_Logout_Click!$A$1:$AF$17</definedName>
    <definedName name="_xlnm.Print_Area" localSheetId="8">Update_Page_Load!$A$1:$AF$74</definedName>
    <definedName name="_xlnm.Print_Area" localSheetId="9">'Update_Page_Load (2)'!$A$1:$AF$74</definedName>
    <definedName name="_xlnm.Print_Titles" localSheetId="4">Clear_Click!$1:$3</definedName>
    <definedName name="_xlnm.Print_Titles" localSheetId="6">Edit_Click!$1:$3</definedName>
    <definedName name="_xlnm.Print_Titles" localSheetId="7">Edit_Logout!$1:$3</definedName>
    <definedName name="_xlnm.Print_Titles" localSheetId="5">Edit_Page_Load!$1:$3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_xlnm.Print_Titles" localSheetId="10">Update_Click!$1:$3</definedName>
    <definedName name="_xlnm.Print_Titles" localSheetId="11">Update_Logout_Click!$1:$3</definedName>
    <definedName name="_xlnm.Print_Titles" localSheetId="8">Update_Page_Load!$1:$3</definedName>
    <definedName name="_xlnm.Print_Titles" localSheetId="9">'Update_Page_Load (2)'!$1:$3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Summary!$AI$21</definedName>
    <definedName name="SummaryTotal">Summary!$B$21:$AL$22</definedName>
    <definedName name="SummaryTRNA">Summary!$X$21</definedName>
    <definedName name="SummaryTRNG">Summary!$R$21</definedName>
    <definedName name="SummaryTROK">Summary!$O$21</definedName>
    <definedName name="SummaryTRPT">Summary!$U$21</definedName>
    <definedName name="SummaryTTC">Summary!$K$21</definedName>
    <definedName name="SummaryTTD">Summary!$AA$21</definedName>
    <definedName name="SummaryTTND">Summary!$AE$21</definedName>
    <definedName name="TestResult" localSheetId="4">Clear_Click!$G$15</definedName>
    <definedName name="TestResult" localSheetId="6">Edit_Click!$G$31</definedName>
    <definedName name="TestResult" localSheetId="7">Edit_Logout!$G$14</definedName>
    <definedName name="TestResult" localSheetId="5">Edit_Page_Load!$G$29</definedName>
    <definedName name="TestResult" localSheetId="2">Page_Load!$G$32</definedName>
    <definedName name="TestResult" localSheetId="3">Submit_Click!$G$41</definedName>
    <definedName name="TestResult" localSheetId="10">Update_Click!$G$68</definedName>
    <definedName name="TestResult" localSheetId="11">Update_Logout_Click!$G$14</definedName>
    <definedName name="TestResult" localSheetId="8">Update_Page_Load!$G$71</definedName>
    <definedName name="TestResult" localSheetId="9">'Update_Page_Load (2)'!$G$71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62913"/>
</workbook>
</file>

<file path=xl/calcChain.xml><?xml version="1.0" encoding="utf-8"?>
<calcChain xmlns="http://schemas.openxmlformats.org/spreadsheetml/2006/main">
  <c r="J3" i="73" l="1"/>
  <c r="AF16" i="83"/>
  <c r="AE16" i="83"/>
  <c r="AD16" i="83"/>
  <c r="AC16" i="83"/>
  <c r="AB16" i="83"/>
  <c r="AA16" i="83"/>
  <c r="Z16" i="83"/>
  <c r="Y16" i="83"/>
  <c r="X16" i="83"/>
  <c r="W16" i="83"/>
  <c r="V16" i="83"/>
  <c r="U16" i="83"/>
  <c r="T16" i="83"/>
  <c r="S16" i="83"/>
  <c r="AF3" i="83"/>
  <c r="AE3" i="83"/>
  <c r="AD3" i="83"/>
  <c r="AC3" i="83"/>
  <c r="AB3" i="83"/>
  <c r="AA3" i="83"/>
  <c r="Z3" i="83"/>
  <c r="Y3" i="83"/>
  <c r="X3" i="83"/>
  <c r="W3" i="83"/>
  <c r="V3" i="83"/>
  <c r="U3" i="83"/>
  <c r="T3" i="83"/>
  <c r="S3" i="83"/>
  <c r="R3" i="83"/>
  <c r="Q3" i="83"/>
  <c r="P3" i="83"/>
  <c r="O3" i="83"/>
  <c r="N3" i="83"/>
  <c r="M3" i="83"/>
  <c r="L3" i="83"/>
  <c r="K3" i="83"/>
  <c r="J3" i="83"/>
  <c r="H3" i="83"/>
  <c r="I3" i="83" s="1"/>
  <c r="O19" i="32"/>
  <c r="U18" i="32"/>
  <c r="X19" i="32"/>
  <c r="R19" i="32"/>
  <c r="U19" i="32"/>
  <c r="AI19" i="32"/>
  <c r="R18" i="32"/>
  <c r="O18" i="32"/>
  <c r="K19" i="32"/>
  <c r="X18" i="32"/>
  <c r="F15" i="83"/>
  <c r="AA19" i="32" l="1"/>
  <c r="AE19" i="32" s="1"/>
  <c r="AA18" i="32"/>
  <c r="U17" i="32"/>
  <c r="O17" i="32"/>
  <c r="R17" i="32"/>
  <c r="X17" i="32"/>
  <c r="AA17" i="32" l="1"/>
  <c r="AF70" i="80"/>
  <c r="AE70" i="80"/>
  <c r="AD70" i="80"/>
  <c r="AC70" i="80"/>
  <c r="AB70" i="80"/>
  <c r="AA70" i="80"/>
  <c r="Z70" i="80"/>
  <c r="Y70" i="80"/>
  <c r="X70" i="80"/>
  <c r="W70" i="80"/>
  <c r="V70" i="80"/>
  <c r="U70" i="80"/>
  <c r="T70" i="80"/>
  <c r="S70" i="80"/>
  <c r="AF3" i="80"/>
  <c r="AE3" i="80"/>
  <c r="AD3" i="80"/>
  <c r="AC3" i="80"/>
  <c r="AB3" i="80"/>
  <c r="AA3" i="80"/>
  <c r="Z3" i="80"/>
  <c r="Y3" i="80"/>
  <c r="X3" i="80"/>
  <c r="W3" i="80"/>
  <c r="V3" i="80"/>
  <c r="U3" i="80"/>
  <c r="T3" i="80"/>
  <c r="S3" i="80"/>
  <c r="R3" i="80"/>
  <c r="Q3" i="80"/>
  <c r="P3" i="80"/>
  <c r="O3" i="80"/>
  <c r="N3" i="80"/>
  <c r="J3" i="80"/>
  <c r="K3" i="80" s="1"/>
  <c r="L3" i="80" s="1"/>
  <c r="M3" i="80" s="1"/>
  <c r="I3" i="80"/>
  <c r="H3" i="80"/>
  <c r="AF73" i="79"/>
  <c r="AE73" i="79"/>
  <c r="AD73" i="79"/>
  <c r="AC73" i="79"/>
  <c r="AB73" i="79"/>
  <c r="AA73" i="79"/>
  <c r="Z73" i="79"/>
  <c r="Y73" i="79"/>
  <c r="X73" i="79"/>
  <c r="W73" i="79"/>
  <c r="V73" i="79"/>
  <c r="U73" i="79"/>
  <c r="T73" i="79"/>
  <c r="S73" i="79"/>
  <c r="I3" i="79"/>
  <c r="F69" i="80"/>
  <c r="X16" i="32"/>
  <c r="AI18" i="32"/>
  <c r="AI17" i="32"/>
  <c r="U16" i="32"/>
  <c r="K18" i="32"/>
  <c r="F72" i="79"/>
  <c r="R16" i="32"/>
  <c r="O16" i="32"/>
  <c r="AE18" i="32" l="1"/>
  <c r="J3" i="79"/>
  <c r="AA16" i="32"/>
  <c r="H3" i="77"/>
  <c r="S73" i="77"/>
  <c r="T73" i="77"/>
  <c r="U73" i="77"/>
  <c r="V73" i="77"/>
  <c r="W73" i="77"/>
  <c r="X73" i="77"/>
  <c r="Y73" i="77"/>
  <c r="Z73" i="77"/>
  <c r="AA73" i="77"/>
  <c r="AB73" i="77"/>
  <c r="AC73" i="77"/>
  <c r="AD73" i="77"/>
  <c r="AE73" i="77"/>
  <c r="AF73" i="77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AI16" i="32"/>
  <c r="F72" i="77"/>
  <c r="X15" i="32"/>
  <c r="O15" i="32"/>
  <c r="AI15" i="32"/>
  <c r="F15" i="76"/>
  <c r="R15" i="32"/>
  <c r="U15" i="32"/>
  <c r="K3" i="79" l="1"/>
  <c r="I3" i="77"/>
  <c r="AA15" i="32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H3" i="76"/>
  <c r="I3" i="76" s="1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X14" i="32"/>
  <c r="K15" i="32"/>
  <c r="R14" i="32"/>
  <c r="F32" i="75"/>
  <c r="O14" i="32"/>
  <c r="U14" i="32"/>
  <c r="AI14" i="32"/>
  <c r="L3" i="79" l="1"/>
  <c r="J3" i="77"/>
  <c r="AE15" i="32"/>
  <c r="AA14" i="32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13" i="32"/>
  <c r="AI13" i="32"/>
  <c r="U13" i="32"/>
  <c r="O13" i="32"/>
  <c r="F30" i="74"/>
  <c r="X13" i="32"/>
  <c r="K14" i="32"/>
  <c r="M3" i="79" l="1"/>
  <c r="K3" i="77"/>
  <c r="AE14" i="32"/>
  <c r="AA13" i="32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K3" i="74"/>
  <c r="L3" i="74" s="1"/>
  <c r="M3" i="74" s="1"/>
  <c r="N3" i="74" s="1"/>
  <c r="O3" i="74" s="1"/>
  <c r="H3" i="74"/>
  <c r="I3" i="74" s="1"/>
  <c r="AF17" i="73"/>
  <c r="AE17" i="73"/>
  <c r="AD17" i="73"/>
  <c r="AC17" i="73"/>
  <c r="AB17" i="73"/>
  <c r="AA17" i="73"/>
  <c r="Z17" i="73"/>
  <c r="Y17" i="73"/>
  <c r="X17" i="73"/>
  <c r="W17" i="73"/>
  <c r="V17" i="73"/>
  <c r="U17" i="73"/>
  <c r="T17" i="73"/>
  <c r="S17" i="73"/>
  <c r="R12" i="32"/>
  <c r="AI12" i="32"/>
  <c r="K13" i="32"/>
  <c r="F16" i="73"/>
  <c r="X12" i="32"/>
  <c r="U12" i="32"/>
  <c r="O12" i="32"/>
  <c r="N3" i="79" l="1"/>
  <c r="L3" i="77"/>
  <c r="AE13" i="32"/>
  <c r="AA12" i="32"/>
  <c r="AF3" i="73"/>
  <c r="AE3" i="73"/>
  <c r="AD3" i="73"/>
  <c r="AC3" i="73"/>
  <c r="AB3" i="73"/>
  <c r="AA3" i="73"/>
  <c r="Z3" i="73"/>
  <c r="Y3" i="73"/>
  <c r="X3" i="73"/>
  <c r="W3" i="73"/>
  <c r="V3" i="73"/>
  <c r="U3" i="73"/>
  <c r="T3" i="73"/>
  <c r="S3" i="73"/>
  <c r="R3" i="73"/>
  <c r="Q3" i="73"/>
  <c r="P3" i="73"/>
  <c r="O3" i="73"/>
  <c r="N3" i="73"/>
  <c r="M3" i="73"/>
  <c r="L3" i="73"/>
  <c r="K3" i="73"/>
  <c r="I3" i="73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AI11" i="32"/>
  <c r="X11" i="32"/>
  <c r="F42" i="72"/>
  <c r="U11" i="32"/>
  <c r="R11" i="32"/>
  <c r="K12" i="32"/>
  <c r="O11" i="32"/>
  <c r="O3" i="79" l="1"/>
  <c r="M3" i="77"/>
  <c r="AE12" i="32"/>
  <c r="AA11" i="3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H3" i="72"/>
  <c r="I3" i="72" s="1"/>
  <c r="J3" i="72" s="1"/>
  <c r="K3" i="72" s="1"/>
  <c r="L3" i="72" s="1"/>
  <c r="M3" i="72" s="1"/>
  <c r="N3" i="72" s="1"/>
  <c r="K11" i="32"/>
  <c r="P3" i="79" l="1"/>
  <c r="N3" i="77"/>
  <c r="AE11" i="32"/>
  <c r="Q3" i="79" l="1"/>
  <c r="O3" i="77"/>
  <c r="H3" i="71"/>
  <c r="I3" i="71" s="1"/>
  <c r="J3" i="71" s="1"/>
  <c r="K3" i="71" s="1"/>
  <c r="L3" i="71" s="1"/>
  <c r="M3" i="71" s="1"/>
  <c r="N3" i="71" s="1"/>
  <c r="O3" i="71" s="1"/>
  <c r="P3" i="71"/>
  <c r="Q3" i="71"/>
  <c r="R3" i="71"/>
  <c r="S3" i="71"/>
  <c r="T3" i="71"/>
  <c r="U3" i="71"/>
  <c r="V3" i="71"/>
  <c r="W3" i="71"/>
  <c r="X3" i="71"/>
  <c r="Y3" i="71"/>
  <c r="Z3" i="71"/>
  <c r="AA3" i="71"/>
  <c r="AB3" i="71"/>
  <c r="AC3" i="71"/>
  <c r="AD3" i="71"/>
  <c r="AE3" i="71"/>
  <c r="AF3" i="71"/>
  <c r="S34" i="71"/>
  <c r="T34" i="71"/>
  <c r="U34" i="71"/>
  <c r="V34" i="71"/>
  <c r="W34" i="71"/>
  <c r="X34" i="71"/>
  <c r="Y34" i="71"/>
  <c r="Z34" i="71"/>
  <c r="AA34" i="71"/>
  <c r="AB34" i="71"/>
  <c r="AC34" i="71"/>
  <c r="AD34" i="71"/>
  <c r="AE34" i="71"/>
  <c r="AF34" i="71"/>
  <c r="K3" i="32"/>
  <c r="O3" i="32"/>
  <c r="R3" i="32"/>
  <c r="U3" i="32"/>
  <c r="X3" i="32"/>
  <c r="AF29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AI3" i="32"/>
  <c r="F28" i="21"/>
  <c r="U10" i="32"/>
  <c r="O10" i="32"/>
  <c r="AI10" i="32"/>
  <c r="R10" i="32"/>
  <c r="K10" i="32"/>
  <c r="X10" i="32"/>
  <c r="F33" i="71"/>
  <c r="R3" i="79" l="1"/>
  <c r="P3" i="77"/>
  <c r="AA3" i="32"/>
  <c r="AE3" i="32" s="1"/>
  <c r="R21" i="32"/>
  <c r="U21" i="32"/>
  <c r="X21" i="32"/>
  <c r="AI21" i="32"/>
  <c r="AA10" i="32"/>
  <c r="AA21" i="32" s="1"/>
  <c r="O21" i="32"/>
  <c r="S3" i="79" l="1"/>
  <c r="Q3" i="77"/>
  <c r="AE10" i="32"/>
  <c r="T3" i="79" l="1"/>
  <c r="R3" i="77"/>
  <c r="U3" i="79" l="1"/>
  <c r="S3" i="77"/>
  <c r="V3" i="79" l="1"/>
  <c r="T3" i="77"/>
  <c r="W3" i="79" l="1"/>
  <c r="U3" i="77"/>
  <c r="X3" i="79" l="1"/>
  <c r="V3" i="77"/>
  <c r="Y3" i="79" l="1"/>
  <c r="W3" i="77"/>
  <c r="Z3" i="79" l="1"/>
  <c r="X3" i="77"/>
  <c r="AA3" i="79" l="1"/>
  <c r="Y3" i="77"/>
  <c r="AB3" i="79" l="1"/>
  <c r="Z3" i="77"/>
  <c r="AC3" i="79" l="1"/>
  <c r="AA3" i="77"/>
  <c r="AD3" i="79" l="1"/>
  <c r="AB3" i="77"/>
  <c r="AE3" i="79" l="1"/>
  <c r="AC3" i="77"/>
  <c r="AF3" i="79" l="1"/>
  <c r="AD3" i="77"/>
  <c r="AE3" i="77" s="1"/>
  <c r="AF3" i="77" s="1"/>
  <c r="K17" i="32"/>
  <c r="K16" i="32"/>
  <c r="AE17" i="32" l="1"/>
  <c r="AE16" i="32"/>
  <c r="K21" i="32"/>
  <c r="AE21" i="32" l="1"/>
  <c r="AE22" i="32" s="1"/>
  <c r="X22" i="32"/>
  <c r="O22" i="32"/>
  <c r="AA22" i="32"/>
  <c r="U22" i="32"/>
  <c r="R22" i="32"/>
</calcChain>
</file>

<file path=xl/comments1.xml><?xml version="1.0" encoding="utf-8"?>
<comments xmlns="http://schemas.openxmlformats.org/spreadsheetml/2006/main">
  <authors>
    <author>sangeeta</author>
  </authors>
  <commentList>
    <comment ref="R9" authorId="0" shape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 shape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 shape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8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9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0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1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2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<sst xmlns="http://schemas.openxmlformats.org/spreadsheetml/2006/main" count="1142" uniqueCount="290">
  <si>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</si>
  <si>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</si>
  <si>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</si>
  <si>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</si>
  <si>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</si>
  <si>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</si>
  <si>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</si>
  <si>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</si>
  <si>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</si>
  <si>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</si>
  <si>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</si>
  <si>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</si>
  <si>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</si>
  <si>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</si>
  <si>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</si>
  <si>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</si>
  <si>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</si>
  <si>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</si>
  <si>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</si>
  <si>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</si>
  <si>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</si>
  <si>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</si>
  <si>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</si>
  <si>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</si>
  <si>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</si>
  <si>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</si>
  <si>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</si>
  <si>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</si>
  <si>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</si>
  <si>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</si>
  <si>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</si>
  <si>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</si>
  <si>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</si>
  <si>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</si>
  <si>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</si>
  <si>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</si>
  <si>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</si>
  <si>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</si>
  <si>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</si>
  <si>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</si>
  <si>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</si>
  <si>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</si>
  <si>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</si>
  <si>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</si>
  <si>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</si>
  <si>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</si>
  <si>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</si>
  <si>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</si>
  <si>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</si>
  <si>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</si>
  <si>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</si>
  <si>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</si>
  <si>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</si>
  <si>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</si>
  <si>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</si>
  <si>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</si>
  <si>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</si>
  <si>
    <t xml:space="preserve">Login Id  </t>
  </si>
  <si>
    <t>Password</t>
  </si>
  <si>
    <t>Operation Button</t>
  </si>
  <si>
    <t>Submit</t>
  </si>
  <si>
    <t>Clear</t>
  </si>
  <si>
    <t>Home</t>
  </si>
  <si>
    <t>Header</t>
  </si>
  <si>
    <t>PageTitle</t>
  </si>
  <si>
    <t>Exception</t>
  </si>
  <si>
    <t>Verification of path flow during program execution</t>
  </si>
  <si>
    <t>Element</t>
  </si>
  <si>
    <t>Label</t>
  </si>
  <si>
    <t>Editable</t>
  </si>
  <si>
    <t>Clickable</t>
  </si>
  <si>
    <t>Default</t>
  </si>
  <si>
    <t>Blank</t>
  </si>
  <si>
    <t>Visible</t>
  </si>
  <si>
    <t>True</t>
  </si>
  <si>
    <t>Header Text</t>
  </si>
  <si>
    <t>Login Details</t>
  </si>
  <si>
    <t>Page Title</t>
  </si>
  <si>
    <t>Login Page</t>
  </si>
  <si>
    <t>Page will be redirected to error page</t>
  </si>
  <si>
    <t>○</t>
  </si>
  <si>
    <t>N</t>
  </si>
  <si>
    <t>A</t>
  </si>
  <si>
    <t>=GetBugSheetName()</t>
  </si>
  <si>
    <t>Submit_Click</t>
  </si>
  <si>
    <t>Submit Click</t>
  </si>
  <si>
    <t>Submit Button Click</t>
  </si>
  <si>
    <t>Exception Occurred</t>
  </si>
  <si>
    <t>Below error message is displayed</t>
  </si>
  <si>
    <t>Please Enter the UserId</t>
  </si>
  <si>
    <t>Please Enter The Password</t>
  </si>
  <si>
    <t>Invalid UserName or Password.</t>
  </si>
  <si>
    <t>No error message is displayed  and page is redirected to Resultinfo.jsp Page</t>
  </si>
  <si>
    <t>User information is  fetched from database and displayed as follows  :                                                                                             Database name : skillup_kishan</t>
  </si>
  <si>
    <t>userdetails.Salutation : Mr.</t>
  </si>
  <si>
    <t>userdetails.Sex : male</t>
  </si>
  <si>
    <t>userdetails.Interest : Web  Database Swing  Mobile                                                                              Other Interest :Cloud Computing</t>
  </si>
  <si>
    <t xml:space="preserve">Redirected to : </t>
  </si>
  <si>
    <t>Result.Jsp</t>
  </si>
  <si>
    <t>Error Page</t>
  </si>
  <si>
    <t>Clear_Click</t>
  </si>
  <si>
    <t>1. Clear Button Click</t>
    <phoneticPr fontId="3"/>
  </si>
  <si>
    <t>1.Clear_Click</t>
  </si>
  <si>
    <t xml:space="preserve">1.Login Id  </t>
  </si>
  <si>
    <t>Blank</t>
    <phoneticPr fontId="3"/>
  </si>
  <si>
    <t>2.Password</t>
    <phoneticPr fontId="3"/>
  </si>
  <si>
    <t>Edit_Page_Load</t>
  </si>
  <si>
    <t>PageLoad</t>
  </si>
  <si>
    <t>Tabel</t>
  </si>
  <si>
    <t>Operation Buttons</t>
  </si>
  <si>
    <t>Edit</t>
  </si>
  <si>
    <t>Logout</t>
  </si>
  <si>
    <t>Resultone.jsp</t>
  </si>
  <si>
    <t>Elements</t>
  </si>
  <si>
    <t>Header text</t>
  </si>
  <si>
    <t>Details</t>
  </si>
  <si>
    <t>Tabel will contain the following details :</t>
  </si>
  <si>
    <t>Refer Sheet1</t>
  </si>
  <si>
    <t>Page will be redirect to ERROR Page</t>
  </si>
  <si>
    <t>Oppss!!!!!!!!!ERROR!!!! Please contact admin</t>
  </si>
  <si>
    <t>Edit_Click</t>
  </si>
  <si>
    <t>userdetails.Sex : Male</t>
  </si>
  <si>
    <t>userdetails.Interest : Web</t>
  </si>
  <si>
    <t>userdetails.Other Interest : Cloud Computing</t>
  </si>
  <si>
    <t xml:space="preserve">Redirected to </t>
  </si>
  <si>
    <t xml:space="preserve"> UserDetails.jsp</t>
  </si>
  <si>
    <t>Table</t>
  </si>
  <si>
    <t>Edit_Button_Clicked</t>
  </si>
  <si>
    <t>Edit_Logout</t>
  </si>
  <si>
    <t>Logout_Click</t>
  </si>
  <si>
    <t>1. Logout Button Click</t>
  </si>
  <si>
    <t>Page will be redirected to Login Page</t>
  </si>
  <si>
    <t>Page will be redirected to Error Page</t>
  </si>
  <si>
    <t>Bug Count</t>
  </si>
  <si>
    <t>Bug ID</t>
  </si>
  <si>
    <t>Bug Details</t>
  </si>
  <si>
    <t>Test Result</t>
  </si>
  <si>
    <t>Test Date</t>
  </si>
  <si>
    <t>Tested By</t>
  </si>
  <si>
    <t>B</t>
  </si>
  <si>
    <t>Condition Type</t>
  </si>
  <si>
    <t>Test Status</t>
  </si>
  <si>
    <t>Home Page</t>
  </si>
  <si>
    <t>Page Title</t>
    <phoneticPr fontId="2"/>
  </si>
  <si>
    <t>Areas of Interest</t>
    <phoneticPr fontId="2"/>
  </si>
  <si>
    <t>Personal Details</t>
    <phoneticPr fontId="2"/>
  </si>
  <si>
    <t>Header Text</t>
    <phoneticPr fontId="2"/>
  </si>
  <si>
    <t>True</t>
    <phoneticPr fontId="2"/>
  </si>
  <si>
    <t>Visible</t>
    <phoneticPr fontId="2"/>
  </si>
  <si>
    <t>Other Interest : Cloud Computing</t>
  </si>
  <si>
    <t xml:space="preserve">interest :   web programming : Checked,  swing programming : Checked   ,mobile programming : Checked,  database  programming : Checked </t>
  </si>
  <si>
    <t>Address :Belgaum</t>
  </si>
  <si>
    <t>Birth Date : 1992-5 -20</t>
  </si>
  <si>
    <t>Email_ID : kishan@usindia.com</t>
  </si>
  <si>
    <t>Sex :  Male - Checked  ,Female - unchecked</t>
  </si>
  <si>
    <t>LastName : Kustagi</t>
  </si>
  <si>
    <t>Middlename : S</t>
  </si>
  <si>
    <t>FirstName : kishan</t>
  </si>
  <si>
    <t>Salutation : Mr.</t>
  </si>
  <si>
    <t>Password : Kishan@2020</t>
  </si>
  <si>
    <t>UseID : Kishan20</t>
  </si>
  <si>
    <t>Default Values :</t>
  </si>
  <si>
    <t>Checkable</t>
  </si>
  <si>
    <t>Selectable</t>
    <phoneticPr fontId="2"/>
  </si>
  <si>
    <t>Editable</t>
    <phoneticPr fontId="2"/>
  </si>
  <si>
    <t>Element</t>
    <phoneticPr fontId="2"/>
  </si>
  <si>
    <t>Verification of path flow during program execution</t>
    <phoneticPr fontId="2"/>
  </si>
  <si>
    <t>Check Items</t>
  </si>
  <si>
    <t>Update</t>
  </si>
  <si>
    <t>Operation Button</t>
    <phoneticPr fontId="2"/>
  </si>
  <si>
    <t>Other Interests</t>
    <phoneticPr fontId="2"/>
  </si>
  <si>
    <t>Mobile Programming</t>
    <phoneticPr fontId="2"/>
  </si>
  <si>
    <t>Swing Programming</t>
    <phoneticPr fontId="2"/>
  </si>
  <si>
    <t>Database Programming</t>
  </si>
  <si>
    <t>Web Programming</t>
    <phoneticPr fontId="2"/>
  </si>
  <si>
    <t>Areas of Interest*</t>
    <phoneticPr fontId="2"/>
  </si>
  <si>
    <t>Address</t>
    <phoneticPr fontId="2"/>
  </si>
  <si>
    <t>Date</t>
    <phoneticPr fontId="2"/>
  </si>
  <si>
    <t>Month</t>
    <phoneticPr fontId="2"/>
  </si>
  <si>
    <t>Year</t>
    <phoneticPr fontId="2"/>
  </si>
  <si>
    <t>Birth Date*</t>
  </si>
  <si>
    <t>Email ID</t>
    <phoneticPr fontId="2"/>
  </si>
  <si>
    <t>Female</t>
  </si>
  <si>
    <t>Male</t>
    <phoneticPr fontId="2"/>
  </si>
  <si>
    <t>Sex*</t>
    <phoneticPr fontId="2"/>
  </si>
  <si>
    <t>Last Name*</t>
    <phoneticPr fontId="2"/>
  </si>
  <si>
    <t>Middle Name</t>
    <phoneticPr fontId="2"/>
  </si>
  <si>
    <t>First Name*</t>
    <phoneticPr fontId="2"/>
  </si>
  <si>
    <t>Salutation</t>
    <phoneticPr fontId="2"/>
  </si>
  <si>
    <t>Password*</t>
    <phoneticPr fontId="2"/>
  </si>
  <si>
    <t>User ID*</t>
    <phoneticPr fontId="2"/>
  </si>
  <si>
    <t>Page_Load</t>
    <phoneticPr fontId="2"/>
  </si>
  <si>
    <t>UserDetails.jsp</t>
  </si>
  <si>
    <t>Input 
Conditions</t>
  </si>
  <si>
    <t xml:space="preserve">Test Case Number </t>
  </si>
  <si>
    <t>Check Conditions / Verification Content</t>
  </si>
  <si>
    <t>Page</t>
  </si>
  <si>
    <t>Assignment6</t>
  </si>
  <si>
    <t>Module Code</t>
  </si>
  <si>
    <t>Date</t>
  </si>
  <si>
    <t>Creators Name</t>
  </si>
  <si>
    <t>WDG</t>
  </si>
  <si>
    <t>Project Code</t>
  </si>
  <si>
    <t>Update_Page_Load</t>
  </si>
  <si>
    <t>hdsaluattion</t>
  </si>
  <si>
    <t>hiddenyear</t>
  </si>
  <si>
    <t>hiddenmonth</t>
  </si>
  <si>
    <t>hiddenDay</t>
  </si>
  <si>
    <t>Hidden</t>
  </si>
  <si>
    <t>False</t>
  </si>
  <si>
    <t>Assignment4</t>
  </si>
  <si>
    <t>PersonalDetails</t>
  </si>
  <si>
    <t>Page</t>
    <phoneticPr fontId="4"/>
  </si>
  <si>
    <t>2</t>
  </si>
  <si>
    <t>UserDetails..java</t>
  </si>
  <si>
    <t xml:space="preserve"> ○</t>
  </si>
  <si>
    <t>UserID</t>
  </si>
  <si>
    <t>Salutation</t>
  </si>
  <si>
    <t>Mr.</t>
  </si>
  <si>
    <t>First Name</t>
  </si>
  <si>
    <t>Middle Name</t>
  </si>
  <si>
    <t>Last Name</t>
  </si>
  <si>
    <t>Male</t>
  </si>
  <si>
    <t>Mail ID</t>
  </si>
  <si>
    <t>Birthdate</t>
  </si>
  <si>
    <t xml:space="preserve">Year </t>
  </si>
  <si>
    <t>Month</t>
  </si>
  <si>
    <t>Day</t>
  </si>
  <si>
    <t>Address</t>
  </si>
  <si>
    <t>Areas of Interest</t>
  </si>
  <si>
    <t>Web Programming</t>
  </si>
  <si>
    <t>Swing Programming</t>
  </si>
  <si>
    <t>Mobile Programming</t>
  </si>
  <si>
    <t>Other Interests</t>
  </si>
  <si>
    <t>Cloud Computing</t>
  </si>
  <si>
    <t>Salutation : Null</t>
  </si>
  <si>
    <t>Middlename : Null</t>
  </si>
  <si>
    <t>Sex : Male</t>
  </si>
  <si>
    <t>Email_ID : Null</t>
  </si>
  <si>
    <t>Address : Null</t>
  </si>
  <si>
    <t>Interest : Web Programming</t>
  </si>
  <si>
    <t>Interest : Web Programming, Database Programming,Swing Programming, ,Mobile Programming</t>
  </si>
  <si>
    <t>Your are redirected to SuccessfullyUpdated.jsp</t>
  </si>
  <si>
    <t>Update_Click</t>
  </si>
  <si>
    <t>Update_Page_Load (2)</t>
  </si>
  <si>
    <t>Update_Logout_Click</t>
  </si>
  <si>
    <t>Page_load</t>
  </si>
  <si>
    <t>Page</t>
    <phoneticPr fontId="4"/>
  </si>
  <si>
    <t>1</t>
    <phoneticPr fontId="4"/>
  </si>
  <si>
    <t>LoginServletTwo.java</t>
  </si>
  <si>
    <t>EditUserDetailsServlet.java</t>
  </si>
  <si>
    <t>4</t>
  </si>
  <si>
    <t>5</t>
  </si>
  <si>
    <t>6</t>
  </si>
  <si>
    <t>7</t>
  </si>
  <si>
    <t>8</t>
  </si>
  <si>
    <t>9</t>
  </si>
  <si>
    <t>10</t>
  </si>
  <si>
    <t>Inputted data will be Stored in database as follows :   Database Name : Skillup_kishan                                                     Table  Name : userdetails</t>
  </si>
  <si>
    <t>Kailas Landge</t>
  </si>
  <si>
    <t>Skillup_JSP</t>
  </si>
  <si>
    <t>kailas</t>
  </si>
  <si>
    <t>OK</t>
  </si>
  <si>
    <t>kailas@123</t>
  </si>
  <si>
    <t>userdetails.UseID : kailas@123</t>
  </si>
  <si>
    <t>userdetails.Password : kailas@123</t>
  </si>
  <si>
    <t>userdetails.FirstName :kailas</t>
  </si>
  <si>
    <t>userdetails.Middlename : d</t>
  </si>
  <si>
    <t>userdetails.LastName : landge</t>
  </si>
  <si>
    <t>userdetails.Email_ID : klandge82@gmail.com</t>
  </si>
  <si>
    <t>userdetails.Birth Date : 1996-2-10</t>
  </si>
  <si>
    <t>userdetails.Address : Aurangabad</t>
  </si>
  <si>
    <t>Default Values in table :                                                           Database Name  : northwind_kailas</t>
  </si>
  <si>
    <t>userdetails.FirstName : kailas</t>
  </si>
  <si>
    <t>userdetails.Address :Aurangabad</t>
  </si>
  <si>
    <t>kailas123</t>
  </si>
  <si>
    <t xml:space="preserve">  "  "  </t>
  </si>
  <si>
    <t>d</t>
  </si>
  <si>
    <t>landge</t>
  </si>
  <si>
    <t>klandge82@gmail.com</t>
  </si>
  <si>
    <t>Aurangabad</t>
  </si>
  <si>
    <t>FirstName : kailas</t>
  </si>
  <si>
    <t>Middlename : d</t>
  </si>
  <si>
    <t>LastName : landge</t>
  </si>
  <si>
    <t>UseID : kailas123</t>
  </si>
  <si>
    <t>Password :kailas@123</t>
  </si>
  <si>
    <t>Email_ID : klandge82@gmail.com</t>
  </si>
  <si>
    <t>Birth Date : 1996-2-10</t>
  </si>
  <si>
    <t>Address :Aurangabad</t>
  </si>
  <si>
    <t>[ JVS :Skillup_JSP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</si>
</sst>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yyyy/mm/dd;[Red]@"/>
  </numFmts>
  <fonts count="2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u/>
      <sz val="11"/>
      <color indexed="12"/>
      <name val="Times New Roman"/>
      <family val="1"/>
    </font>
    <font>
      <sz val="14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334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64" fontId="12" fillId="0" borderId="1" xfId="2" applyNumberFormat="1" applyFont="1" applyFill="1" applyBorder="1" applyAlignment="1">
      <alignment horizontal="center" vertical="center"/>
    </xf>
    <xf numFmtId="164" fontId="12" fillId="0" borderId="1" xfId="2" applyNumberFormat="1" applyFont="1" applyFill="1" applyBorder="1" applyAlignment="1">
      <alignment horizontal="left" vertical="center"/>
    </xf>
    <xf numFmtId="164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64" fontId="9" fillId="0" borderId="4" xfId="6" applyNumberFormat="1" applyFont="1" applyFill="1" applyBorder="1" applyAlignment="1">
      <alignment horizontal="center" vertical="center"/>
    </xf>
    <xf numFmtId="164" fontId="9" fillId="0" borderId="5" xfId="6" applyNumberFormat="1" applyFont="1" applyFill="1" applyBorder="1" applyAlignment="1">
      <alignment horizontal="center" vertical="center"/>
    </xf>
    <xf numFmtId="164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65" fontId="9" fillId="0" borderId="10" xfId="6" applyNumberFormat="1" applyFont="1" applyFill="1" applyBorder="1" applyAlignment="1">
      <alignment horizontal="center" vertical="center" wrapText="1"/>
    </xf>
    <xf numFmtId="165" fontId="9" fillId="0" borderId="11" xfId="6" applyNumberFormat="1" applyFont="1" applyFill="1" applyBorder="1" applyAlignment="1">
      <alignment horizontal="center" vertical="center" wrapText="1"/>
    </xf>
    <xf numFmtId="165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64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64" fontId="10" fillId="0" borderId="0" xfId="2" applyNumberFormat="1" applyFont="1" applyFill="1" applyBorder="1" applyAlignment="1">
      <alignment horizontal="center" vertical="center"/>
    </xf>
    <xf numFmtId="164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9" fillId="0" borderId="27" xfId="5" applyNumberFormat="1" applyFont="1" applyFill="1" applyBorder="1" applyAlignment="1">
      <alignment horizontal="left" wrapText="1"/>
    </xf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0" xfId="7" applyNumberFormat="1" applyFont="1" applyFill="1" applyBorder="1" applyAlignment="1">
      <alignment horizontal="center" vertical="top" wrapText="1"/>
    </xf>
    <xf numFmtId="49" fontId="9" fillId="0" borderId="11" xfId="7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42" xfId="7" applyNumberFormat="1" applyFont="1" applyFill="1" applyBorder="1" applyAlignment="1">
      <alignment horizontal="center" vertical="top" wrapText="1"/>
    </xf>
    <xf numFmtId="49" fontId="9" fillId="0" borderId="15" xfId="7" applyNumberFormat="1" applyFont="1" applyFill="1" applyBorder="1" applyAlignment="1">
      <alignment horizontal="center" vertical="top" wrapText="1"/>
    </xf>
    <xf numFmtId="49" fontId="9" fillId="0" borderId="18" xfId="7" applyNumberFormat="1" applyFont="1" applyFill="1" applyBorder="1" applyAlignment="1">
      <alignment horizontal="center" vertical="top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46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49" fontId="9" fillId="0" borderId="25" xfId="7" applyNumberFormat="1" applyFont="1" applyFill="1" applyBorder="1" applyAlignment="1">
      <alignment horizontal="center" vertical="top" wrapText="1"/>
    </xf>
    <xf numFmtId="49" fontId="9" fillId="0" borderId="1" xfId="7" applyNumberFormat="1" applyFont="1" applyFill="1" applyBorder="1" applyAlignment="1">
      <alignment horizontal="center" vertical="top" wrapText="1"/>
    </xf>
    <xf numFmtId="49" fontId="9" fillId="0" borderId="50" xfId="6" applyNumberFormat="1" applyFont="1" applyFill="1" applyBorder="1" applyAlignment="1">
      <alignment vertical="center" wrapText="1"/>
    </xf>
    <xf numFmtId="49" fontId="9" fillId="0" borderId="14" xfId="7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18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5" xfId="0" applyNumberFormat="1" applyFont="1" applyFill="1" applyBorder="1" applyAlignment="1">
      <alignment horizontal="left" vertical="top" wrapText="1"/>
    </xf>
    <xf numFmtId="49" fontId="9" fillId="0" borderId="46" xfId="6" applyNumberFormat="1" applyFont="1" applyFill="1" applyBorder="1" applyAlignment="1">
      <alignment horizontal="center" vertical="center" wrapText="1"/>
    </xf>
    <xf numFmtId="49" fontId="9" fillId="0" borderId="2" xfId="0" applyNumberFormat="1" applyFont="1" applyFill="1" applyBorder="1" applyAlignment="1">
      <alignment horizontal="center" vertical="center" wrapText="1"/>
    </xf>
    <xf numFmtId="49" fontId="9" fillId="0" borderId="38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27" xfId="5" applyNumberFormat="1" applyFont="1" applyFill="1" applyBorder="1" applyAlignment="1">
      <alignment wrapText="1"/>
    </xf>
    <xf numFmtId="49" fontId="9" fillId="0" borderId="50" xfId="0" applyNumberFormat="1" applyFont="1" applyFill="1" applyBorder="1" applyAlignment="1">
      <alignment horizontal="center" vertical="top" wrapText="1"/>
    </xf>
    <xf numFmtId="49" fontId="9" fillId="0" borderId="52" xfId="0" applyNumberFormat="1" applyFont="1" applyFill="1" applyBorder="1" applyAlignment="1">
      <alignment horizontal="center"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42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>
      <alignment horizontal="center" vertical="center" wrapText="1"/>
    </xf>
    <xf numFmtId="49" fontId="9" fillId="0" borderId="53" xfId="0" applyNumberFormat="1" applyFont="1" applyFill="1" applyBorder="1" applyAlignment="1">
      <alignment horizontal="center" vertical="center" wrapText="1"/>
    </xf>
    <xf numFmtId="49" fontId="9" fillId="0" borderId="43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vertical="top" wrapText="1"/>
    </xf>
    <xf numFmtId="49" fontId="9" fillId="0" borderId="25" xfId="7" applyNumberFormat="1" applyFont="1" applyFill="1" applyBorder="1" applyAlignment="1">
      <alignment horizontal="center" vertical="center" wrapText="1"/>
    </xf>
    <xf numFmtId="49" fontId="9" fillId="0" borderId="11" xfId="7" applyNumberFormat="1" applyFont="1" applyFill="1" applyBorder="1" applyAlignment="1">
      <alignment horizontal="center" vertical="center"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25" xfId="0" applyNumberFormat="1" applyFont="1" applyFill="1" applyBorder="1" applyAlignment="1">
      <alignment vertical="top" wrapText="1"/>
    </xf>
    <xf numFmtId="49" fontId="9" fillId="0" borderId="25" xfId="5" applyNumberFormat="1" applyFont="1" applyFill="1" applyBorder="1" applyAlignment="1">
      <alignment wrapText="1"/>
    </xf>
    <xf numFmtId="49" fontId="9" fillId="0" borderId="56" xfId="0" applyNumberFormat="1" applyFont="1" applyFill="1" applyBorder="1" applyAlignment="1">
      <alignment horizontal="center" vertical="center" wrapText="1"/>
    </xf>
    <xf numFmtId="49" fontId="9" fillId="0" borderId="56" xfId="0" applyNumberFormat="1" applyFont="1" applyFill="1" applyBorder="1" applyAlignment="1">
      <alignment horizontal="center" vertical="top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34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center" vertical="top" wrapText="1"/>
    </xf>
    <xf numFmtId="0" fontId="9" fillId="0" borderId="11" xfId="0" applyFont="1" applyBorder="1" applyAlignment="1"/>
    <xf numFmtId="49" fontId="9" fillId="0" borderId="35" xfId="0" applyNumberFormat="1" applyFont="1" applyFill="1" applyBorder="1" applyAlignment="1">
      <alignment horizontal="center" vertical="center" wrapText="1"/>
    </xf>
    <xf numFmtId="49" fontId="9" fillId="0" borderId="30" xfId="0" applyNumberFormat="1" applyFont="1" applyFill="1" applyBorder="1" applyAlignment="1">
      <alignment horizontal="center" vertical="center" wrapText="1"/>
    </xf>
    <xf numFmtId="49" fontId="9" fillId="0" borderId="25" xfId="0" applyNumberFormat="1" applyFont="1" applyFill="1" applyBorder="1" applyAlignment="1">
      <alignment horizontal="center" vertical="center" wrapText="1"/>
    </xf>
    <xf numFmtId="49" fontId="9" fillId="0" borderId="35" xfId="6" applyNumberFormat="1" applyFont="1" applyFill="1" applyBorder="1" applyAlignment="1">
      <alignment horizontal="center" vertical="center" wrapText="1"/>
    </xf>
    <xf numFmtId="49" fontId="9" fillId="0" borderId="56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165" fontId="9" fillId="0" borderId="1" xfId="6" applyNumberFormat="1" applyFont="1" applyFill="1" applyBorder="1" applyAlignment="1">
      <alignment horizontal="center" vertical="center" wrapText="1"/>
    </xf>
    <xf numFmtId="49" fontId="9" fillId="0" borderId="2" xfId="6" applyNumberFormat="1" applyFont="1" applyFill="1" applyBorder="1" applyAlignment="1">
      <alignment horizontal="center" vertical="center" wrapText="1"/>
    </xf>
    <xf numFmtId="0" fontId="9" fillId="0" borderId="39" xfId="6" applyNumberFormat="1" applyFont="1" applyFill="1" applyBorder="1" applyAlignment="1">
      <alignment horizontal="center" vertical="center" wrapText="1"/>
    </xf>
    <xf numFmtId="0" fontId="22" fillId="0" borderId="0" xfId="0" applyFont="1"/>
    <xf numFmtId="0" fontId="10" fillId="0" borderId="0" xfId="0" applyFont="1"/>
    <xf numFmtId="49" fontId="9" fillId="0" borderId="34" xfId="0" applyNumberFormat="1" applyFont="1" applyFill="1" applyBorder="1" applyAlignment="1">
      <alignment horizontal="center" vertical="center" wrapText="1"/>
    </xf>
    <xf numFmtId="49" fontId="9" fillId="0" borderId="34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164" fontId="10" fillId="5" borderId="22" xfId="2" applyNumberFormat="1" applyFont="1" applyFill="1" applyBorder="1" applyAlignment="1">
      <alignment horizontal="center" vertical="center"/>
    </xf>
    <xf numFmtId="164" fontId="10" fillId="5" borderId="1" xfId="2" applyNumberFormat="1" applyFont="1" applyFill="1" applyBorder="1" applyAlignment="1">
      <alignment horizontal="center" vertical="center"/>
    </xf>
    <xf numFmtId="164" fontId="10" fillId="5" borderId="25" xfId="2" applyNumberFormat="1" applyFont="1" applyFill="1" applyBorder="1" applyAlignment="1">
      <alignment horizontal="center" vertical="center"/>
    </xf>
    <xf numFmtId="164" fontId="10" fillId="2" borderId="22" xfId="2" applyNumberFormat="1" applyFont="1" applyFill="1" applyBorder="1" applyAlignment="1">
      <alignment horizontal="center" vertical="center"/>
    </xf>
    <xf numFmtId="164" fontId="10" fillId="2" borderId="1" xfId="2" applyNumberFormat="1" applyFont="1" applyFill="1" applyBorder="1" applyAlignment="1">
      <alignment horizontal="center" vertical="center"/>
    </xf>
    <xf numFmtId="164" fontId="10" fillId="2" borderId="25" xfId="2" applyNumberFormat="1" applyFont="1" applyFill="1" applyBorder="1" applyAlignment="1">
      <alignment horizontal="center" vertical="center"/>
    </xf>
    <xf numFmtId="164" fontId="10" fillId="0" borderId="22" xfId="2" applyNumberFormat="1" applyFont="1" applyBorder="1" applyAlignment="1">
      <alignment horizontal="center" vertical="center"/>
    </xf>
    <xf numFmtId="164" fontId="10" fillId="0" borderId="25" xfId="2" applyNumberFormat="1" applyFont="1" applyBorder="1" applyAlignment="1">
      <alignment horizontal="center" vertical="center"/>
    </xf>
    <xf numFmtId="164" fontId="10" fillId="0" borderId="22" xfId="2" applyNumberFormat="1" applyFont="1" applyBorder="1" applyAlignment="1" applyProtection="1">
      <alignment vertical="center" wrapText="1"/>
      <protection locked="0"/>
    </xf>
    <xf numFmtId="164" fontId="10" fillId="0" borderId="1" xfId="2" applyNumberFormat="1" applyFont="1" applyBorder="1" applyAlignment="1" applyProtection="1">
      <alignment vertical="center" wrapText="1"/>
      <protection locked="0"/>
    </xf>
    <xf numFmtId="164" fontId="10" fillId="0" borderId="25" xfId="2" applyNumberFormat="1" applyFont="1" applyBorder="1" applyAlignment="1" applyProtection="1">
      <alignment vertical="center" wrapText="1"/>
      <protection locked="0"/>
    </xf>
    <xf numFmtId="164" fontId="10" fillId="0" borderId="1" xfId="2" applyNumberFormat="1" applyFont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164" fontId="10" fillId="4" borderId="22" xfId="2" applyNumberFormat="1" applyFont="1" applyFill="1" applyBorder="1" applyAlignment="1">
      <alignment horizontal="center" vertical="center"/>
    </xf>
    <xf numFmtId="164" fontId="10" fillId="4" borderId="1" xfId="2" applyNumberFormat="1" applyFont="1" applyFill="1" applyBorder="1" applyAlignment="1">
      <alignment horizontal="center" vertical="center"/>
    </xf>
    <xf numFmtId="164" fontId="10" fillId="4" borderId="25" xfId="2" applyNumberFormat="1" applyFont="1" applyFill="1" applyBorder="1" applyAlignment="1">
      <alignment horizontal="center" vertical="center"/>
    </xf>
    <xf numFmtId="164" fontId="10" fillId="4" borderId="27" xfId="2" applyNumberFormat="1" applyFont="1" applyFill="1" applyBorder="1" applyAlignment="1">
      <alignment horizontal="center" vertical="center"/>
    </xf>
    <xf numFmtId="164" fontId="10" fillId="4" borderId="2" xfId="2" applyNumberFormat="1" applyFont="1" applyFill="1" applyBorder="1" applyAlignment="1">
      <alignment horizontal="center" vertical="center"/>
    </xf>
    <xf numFmtId="164" fontId="10" fillId="4" borderId="28" xfId="2" applyNumberFormat="1" applyFont="1" applyFill="1" applyBorder="1" applyAlignment="1">
      <alignment horizontal="center" vertical="center"/>
    </xf>
    <xf numFmtId="164" fontId="10" fillId="4" borderId="21" xfId="2" applyNumberFormat="1" applyFont="1" applyFill="1" applyBorder="1" applyAlignment="1">
      <alignment horizontal="center" vertical="center"/>
    </xf>
    <xf numFmtId="164" fontId="10" fillId="4" borderId="29" xfId="2" applyNumberFormat="1" applyFont="1" applyFill="1" applyBorder="1" applyAlignment="1">
      <alignment horizontal="center" vertical="center"/>
    </xf>
    <xf numFmtId="164" fontId="10" fillId="4" borderId="30" xfId="2" applyNumberFormat="1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65" fontId="9" fillId="0" borderId="8" xfId="6" applyNumberFormat="1" applyFont="1" applyFill="1" applyBorder="1" applyAlignment="1">
      <alignment horizontal="center" vertical="center"/>
    </xf>
    <xf numFmtId="165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0" fontId="10" fillId="0" borderId="44" xfId="0" applyFont="1" applyBorder="1" applyAlignment="1">
      <alignment horizontal="left" vertical="top" wrapText="1"/>
    </xf>
    <xf numFmtId="0" fontId="9" fillId="0" borderId="27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45" xfId="0" applyFont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left" vertical="top" wrapText="1"/>
    </xf>
    <xf numFmtId="0" fontId="9" fillId="0" borderId="11" xfId="0" applyFont="1" applyBorder="1"/>
    <xf numFmtId="0" fontId="9" fillId="0" borderId="12" xfId="0" applyFont="1" applyBorder="1"/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9" fillId="0" borderId="11" xfId="0" applyFont="1" applyBorder="1" applyAlignment="1">
      <alignment horizontal="left" vertical="top" wrapText="1"/>
    </xf>
    <xf numFmtId="0" fontId="9" fillId="0" borderId="22" xfId="0" applyFont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" xfId="0" applyFont="1" applyBorder="1" applyAlignment="1">
      <alignment horizontal="left" vertical="top" wrapText="1"/>
    </xf>
    <xf numFmtId="0" fontId="9" fillId="0" borderId="44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48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21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" xfId="7" applyNumberFormat="1" applyFont="1" applyFill="1" applyBorder="1" applyAlignment="1">
      <alignment horizontal="left" vertical="top" wrapText="1"/>
    </xf>
    <xf numFmtId="49" fontId="9" fillId="0" borderId="45" xfId="7" applyNumberFormat="1" applyFont="1" applyFill="1" applyBorder="1" applyAlignment="1">
      <alignment horizontal="left" vertical="top" wrapText="1"/>
    </xf>
    <xf numFmtId="49" fontId="9" fillId="0" borderId="29" xfId="7" applyNumberFormat="1" applyFont="1" applyFill="1" applyBorder="1" applyAlignment="1">
      <alignment horizontal="left" vertical="top" wrapText="1"/>
    </xf>
    <xf numFmtId="49" fontId="9" fillId="0" borderId="51" xfId="7" applyNumberFormat="1" applyFont="1" applyFill="1" applyBorder="1" applyAlignment="1">
      <alignment horizontal="left" vertical="top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21" fillId="0" borderId="29" xfId="1" applyNumberFormat="1" applyFont="1" applyFill="1" applyBorder="1" applyAlignment="1" applyProtection="1">
      <alignment horizontal="left" vertical="top" wrapText="1"/>
    </xf>
    <xf numFmtId="49" fontId="21" fillId="0" borderId="51" xfId="1" applyNumberFormat="1" applyFont="1" applyFill="1" applyBorder="1" applyAlignment="1" applyProtection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27" xfId="5" applyNumberFormat="1" applyFont="1" applyFill="1" applyBorder="1" applyAlignment="1">
      <alignment horizontal="center" wrapText="1"/>
    </xf>
    <xf numFmtId="49" fontId="9" fillId="0" borderId="13" xfId="5" applyNumberFormat="1" applyFont="1" applyFill="1" applyBorder="1" applyAlignment="1">
      <alignment horizontal="center" wrapText="1"/>
    </xf>
    <xf numFmtId="49" fontId="9" fillId="0" borderId="21" xfId="5" applyNumberFormat="1" applyFont="1" applyFill="1" applyBorder="1" applyAlignment="1">
      <alignment horizontal="center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5" xfId="5" applyNumberFormat="1" applyFont="1" applyFill="1" applyBorder="1" applyAlignment="1">
      <alignment horizontal="left" wrapText="1"/>
    </xf>
    <xf numFmtId="49" fontId="9" fillId="0" borderId="45" xfId="5" applyNumberFormat="1" applyFont="1" applyFill="1" applyBorder="1" applyAlignment="1">
      <alignment horizontal="left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12" xfId="0" applyFont="1" applyBorder="1" applyAlignment="1">
      <alignment horizontal="left" vertical="top" wrapText="1"/>
    </xf>
    <xf numFmtId="49" fontId="4" fillId="0" borderId="18" xfId="0" applyNumberFormat="1" applyFont="1" applyFill="1" applyBorder="1" applyAlignment="1">
      <alignment horizontal="left" vertical="top" wrapText="1"/>
    </xf>
    <xf numFmtId="49" fontId="9" fillId="0" borderId="18" xfId="0" applyNumberFormat="1" applyFont="1" applyFill="1" applyBorder="1" applyAlignment="1">
      <alignment horizontal="left" vertical="top" wrapText="1"/>
    </xf>
    <xf numFmtId="49" fontId="9" fillId="0" borderId="19" xfId="0" applyNumberFormat="1" applyFont="1" applyFill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left" vertical="top" wrapText="1"/>
    </xf>
    <xf numFmtId="49" fontId="9" fillId="0" borderId="46" xfId="0" applyNumberFormat="1" applyFont="1" applyFill="1" applyBorder="1" applyAlignment="1">
      <alignment horizontal="left" vertical="top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0" fillId="0" borderId="34" xfId="0" applyBorder="1"/>
    <xf numFmtId="0" fontId="0" fillId="0" borderId="55" xfId="0" applyBorder="1"/>
    <xf numFmtId="0" fontId="0" fillId="0" borderId="1" xfId="0" applyBorder="1"/>
    <xf numFmtId="0" fontId="0" fillId="0" borderId="44" xfId="0" applyBorder="1"/>
    <xf numFmtId="0" fontId="0" fillId="0" borderId="2" xfId="0" applyBorder="1"/>
    <xf numFmtId="0" fontId="0" fillId="0" borderId="45" xfId="0" applyBorder="1"/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6" xfId="0" applyNumberFormat="1" applyFont="1" applyFill="1" applyBorder="1" applyAlignment="1">
      <alignment horizontal="left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38" xfId="5" applyNumberFormat="1" applyFont="1" applyFill="1" applyBorder="1" applyAlignment="1">
      <alignment horizontal="left" wrapText="1"/>
    </xf>
    <xf numFmtId="49" fontId="9" fillId="0" borderId="39" xfId="5" applyNumberFormat="1" applyFont="1" applyFill="1" applyBorder="1" applyAlignment="1">
      <alignment horizontal="left" wrapText="1"/>
    </xf>
    <xf numFmtId="49" fontId="9" fillId="0" borderId="41" xfId="5" applyNumberFormat="1" applyFont="1" applyFill="1" applyBorder="1" applyAlignment="1">
      <alignment horizontal="left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16" xfId="7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5" xfId="0" applyNumberFormat="1" applyFont="1" applyFill="1" applyBorder="1" applyAlignment="1">
      <alignment horizontal="left" vertical="top" wrapText="1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12" xfId="6" applyNumberFormat="1" applyFont="1" applyFill="1" applyBorder="1" applyAlignment="1">
      <alignment horizontal="left" vertical="center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54" xfId="0" applyNumberFormat="1" applyFont="1" applyFill="1" applyBorder="1" applyAlignment="1">
      <alignment horizontal="left" vertical="top" wrapText="1"/>
    </xf>
    <xf numFmtId="49" fontId="9" fillId="0" borderId="47" xfId="0" applyNumberFormat="1" applyFont="1" applyFill="1" applyBorder="1" applyAlignment="1">
      <alignment horizontal="left" vertical="top" wrapText="1"/>
    </xf>
    <xf numFmtId="49" fontId="2" fillId="0" borderId="21" xfId="1" applyNumberFormat="1" applyFill="1" applyBorder="1" applyAlignment="1" applyProtection="1">
      <alignment horizontal="left" vertical="top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37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ADD New PCL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371475"/>
          <a:ext cx="1933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kailas@123" TargetMode="External"/><Relationship Id="rId1" Type="http://schemas.openxmlformats.org/officeDocument/2006/relationships/hyperlink" Target="mailto:kailas@123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kailas@123" TargetMode="External"/><Relationship Id="rId1" Type="http://schemas.openxmlformats.org/officeDocument/2006/relationships/hyperlink" Target="mailto:klandge82@gmail.com" TargetMode="External"/><Relationship Id="rId6" Type="http://schemas.openxmlformats.org/officeDocument/2006/relationships/comments" Target="../comments11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9"/>
  <sheetViews>
    <sheetView tabSelected="1"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X14" sqref="X14:Z14"/>
    </sheetView>
  </sheetViews>
  <sheetFormatPr defaultColWidth="2.625" defaultRowHeight="15"/>
  <cols>
    <col min="1" max="16384" width="2.625" style="3"/>
  </cols>
  <sheetData>
    <row r="1" spans="2:38" hidden="1"/>
    <row r="2" spans="2:38" hidden="1">
      <c r="B2" s="2" t="s">
        <v>14</v>
      </c>
      <c r="C2" s="2"/>
    </row>
    <row r="3" spans="2:38" s="4" customFormat="1" ht="13.5" hidden="1" customHeight="1">
      <c r="B3" s="142"/>
      <c r="C3" s="143"/>
      <c r="D3" s="144"/>
      <c r="E3" s="145"/>
      <c r="F3" s="145"/>
      <c r="G3" s="145"/>
      <c r="H3" s="145"/>
      <c r="I3" s="145"/>
      <c r="J3" s="146"/>
      <c r="K3" s="136">
        <f ca="1">IF($D3="",0,MAX(INDIRECT("'"&amp;$D3&amp;"'!$H3:$AZ3")))</f>
        <v>0</v>
      </c>
      <c r="L3" s="137"/>
      <c r="M3" s="137"/>
      <c r="N3" s="138"/>
      <c r="O3" s="142" t="str">
        <f ca="1">IF($D3="","",COUNTIF(INDIRECT("'"&amp;$D3&amp;"'!$H"&amp;ROW(INDIRECT("'"&amp;$D3&amp;"'!TestResult"))&amp;":$AZ"&amp;ROW(INDIRECT("'"&amp;$D3&amp;"'!TestResult"))),O$9))</f>
        <v/>
      </c>
      <c r="P3" s="147"/>
      <c r="Q3" s="143"/>
      <c r="R3" s="142" t="str">
        <f ca="1">IF($D3="","",COUNTIF(INDIRECT("'"&amp;$D3&amp;"'!$H"&amp;ROW(INDIRECT("'"&amp;$D3&amp;"'!TestResult"))&amp;":$AZ"&amp;ROW(INDIRECT("'"&amp;$D3&amp;"'!TestResult"))),R$9))</f>
        <v/>
      </c>
      <c r="S3" s="147"/>
      <c r="T3" s="143"/>
      <c r="U3" s="142" t="str">
        <f ca="1">IF($D3="","",COUNTIF(INDIRECT("'"&amp;$D3&amp;"'!$H"&amp;ROW(INDIRECT("'"&amp;$D3&amp;"'!TestResult"))&amp;":$AZ"&amp;ROW(INDIRECT("'"&amp;$D3&amp;"'!TestResult"))),U$9))</f>
        <v/>
      </c>
      <c r="V3" s="147"/>
      <c r="W3" s="143"/>
      <c r="X3" s="142" t="str">
        <f ca="1">IF($D3="","",COUNTIF(INDIRECT("'"&amp;$D3&amp;"'!$H"&amp;ROW(INDIRECT("'"&amp;$D3&amp;"'!TestResult"))&amp;":$AZ"&amp;ROW(INDIRECT("'"&amp;$D3&amp;"'!TestResult"))),X$9))</f>
        <v/>
      </c>
      <c r="Y3" s="147"/>
      <c r="Z3" s="143"/>
      <c r="AA3" s="136">
        <f ca="1">SUM(O3:Z3)</f>
        <v>0</v>
      </c>
      <c r="AB3" s="137"/>
      <c r="AC3" s="137"/>
      <c r="AD3" s="138"/>
      <c r="AE3" s="136">
        <f ca="1">K3-AA3</f>
        <v>0</v>
      </c>
      <c r="AF3" s="137"/>
      <c r="AG3" s="137"/>
      <c r="AH3" s="138"/>
      <c r="AI3" s="139" t="str">
        <f ca="1">IF($D3="","",SUM(INDIRECT("'"&amp;$D3&amp;"'!BugCount")))</f>
        <v/>
      </c>
      <c r="AJ3" s="140"/>
      <c r="AK3" s="140"/>
      <c r="AL3" s="141"/>
    </row>
    <row r="4" spans="2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2:38" ht="15.75" thickBot="1"/>
    <row r="6" spans="2:38" ht="14.25" customHeight="1" thickBot="1">
      <c r="B6" s="188" t="s">
        <v>289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90"/>
    </row>
    <row r="8" spans="2:38" ht="13.5" customHeight="1">
      <c r="B8" s="181"/>
      <c r="C8" s="182"/>
      <c r="D8" s="181"/>
      <c r="E8" s="183"/>
      <c r="F8" s="183"/>
      <c r="G8" s="183"/>
      <c r="H8" s="183"/>
      <c r="I8" s="183"/>
      <c r="J8" s="182"/>
      <c r="K8" s="151" t="s">
        <v>2</v>
      </c>
      <c r="L8" s="152"/>
      <c r="M8" s="152"/>
      <c r="N8" s="153"/>
      <c r="O8" s="157" t="s">
        <v>1</v>
      </c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9"/>
      <c r="AA8" s="151" t="s">
        <v>33</v>
      </c>
      <c r="AB8" s="152"/>
      <c r="AC8" s="152"/>
      <c r="AD8" s="153"/>
      <c r="AE8" s="151" t="s">
        <v>33</v>
      </c>
      <c r="AF8" s="152"/>
      <c r="AG8" s="152"/>
      <c r="AH8" s="153"/>
      <c r="AI8" s="148"/>
      <c r="AJ8" s="149"/>
      <c r="AK8" s="149"/>
      <c r="AL8" s="150"/>
    </row>
    <row r="9" spans="2:38" s="4" customFormat="1">
      <c r="B9" s="175" t="s">
        <v>15</v>
      </c>
      <c r="C9" s="176"/>
      <c r="D9" s="175" t="s">
        <v>16</v>
      </c>
      <c r="E9" s="177"/>
      <c r="F9" s="177"/>
      <c r="G9" s="177"/>
      <c r="H9" s="177"/>
      <c r="I9" s="177"/>
      <c r="J9" s="176"/>
      <c r="K9" s="154" t="s">
        <v>31</v>
      </c>
      <c r="L9" s="155"/>
      <c r="M9" s="155"/>
      <c r="N9" s="156"/>
      <c r="O9" s="160" t="s">
        <v>17</v>
      </c>
      <c r="P9" s="161"/>
      <c r="Q9" s="162"/>
      <c r="R9" s="160" t="s">
        <v>18</v>
      </c>
      <c r="S9" s="161"/>
      <c r="T9" s="162"/>
      <c r="U9" s="160" t="s">
        <v>19</v>
      </c>
      <c r="V9" s="161"/>
      <c r="W9" s="162"/>
      <c r="X9" s="160" t="s">
        <v>20</v>
      </c>
      <c r="Y9" s="161"/>
      <c r="Z9" s="162"/>
      <c r="AA9" s="154" t="s">
        <v>32</v>
      </c>
      <c r="AB9" s="155"/>
      <c r="AC9" s="155"/>
      <c r="AD9" s="156"/>
      <c r="AE9" s="154" t="s">
        <v>34</v>
      </c>
      <c r="AF9" s="155"/>
      <c r="AG9" s="155"/>
      <c r="AH9" s="156"/>
      <c r="AI9" s="184" t="s">
        <v>35</v>
      </c>
      <c r="AJ9" s="185"/>
      <c r="AK9" s="185"/>
      <c r="AL9" s="186"/>
    </row>
    <row r="10" spans="2:38" s="4" customFormat="1">
      <c r="B10" s="142">
        <v>1</v>
      </c>
      <c r="C10" s="143"/>
      <c r="D10" s="144" t="s">
        <v>56</v>
      </c>
      <c r="E10" s="145"/>
      <c r="F10" s="145"/>
      <c r="G10" s="145"/>
      <c r="H10" s="145"/>
      <c r="I10" s="145"/>
      <c r="J10" s="146"/>
      <c r="K10" s="136">
        <f t="shared" ref="K10:K19" ca="1" si="0">IF($D10="",0,MAX(INDIRECT("'"&amp;$D10&amp;"'!$H3:$AZ3")))</f>
        <v>8</v>
      </c>
      <c r="L10" s="137"/>
      <c r="M10" s="137"/>
      <c r="N10" s="138"/>
      <c r="O10" s="142">
        <f t="shared" ref="O10:O19" ca="1" si="1">IF($D10="","",COUNTIF(INDIRECT("'"&amp;$D10&amp;"'!$H"&amp;ROW(INDIRECT("'"&amp;$D10&amp;"'!TestResult"))&amp;":$AZ"&amp;ROW(INDIRECT("'"&amp;$D10&amp;"'!TestResult"))),O$9))</f>
        <v>8</v>
      </c>
      <c r="P10" s="147"/>
      <c r="Q10" s="143"/>
      <c r="R10" s="142">
        <f t="shared" ref="R10:R19" ca="1" si="2">IF($D10="","",COUNTIF(INDIRECT("'"&amp;$D10&amp;"'!$H"&amp;ROW(INDIRECT("'"&amp;$D10&amp;"'!TestResult"))&amp;":$AZ"&amp;ROW(INDIRECT("'"&amp;$D10&amp;"'!TestResult"))),R$9))</f>
        <v>0</v>
      </c>
      <c r="S10" s="147"/>
      <c r="T10" s="143"/>
      <c r="U10" s="142">
        <f t="shared" ref="U10:U19" ca="1" si="3">IF($D10="","",COUNTIF(INDIRECT("'"&amp;$D10&amp;"'!$H"&amp;ROW(INDIRECT("'"&amp;$D10&amp;"'!TestResult"))&amp;":$AZ"&amp;ROW(INDIRECT("'"&amp;$D10&amp;"'!TestResult"))),U$9))</f>
        <v>0</v>
      </c>
      <c r="V10" s="147"/>
      <c r="W10" s="143"/>
      <c r="X10" s="142">
        <f t="shared" ref="X10:X19" ca="1" si="4">IF($D10="","",COUNTIF(INDIRECT("'"&amp;$D10&amp;"'!$H"&amp;ROW(INDIRECT("'"&amp;$D10&amp;"'!TestResult"))&amp;":$AZ"&amp;ROW(INDIRECT("'"&amp;$D10&amp;"'!TestResult"))),X$9))</f>
        <v>0</v>
      </c>
      <c r="Y10" s="147"/>
      <c r="Z10" s="143"/>
      <c r="AA10" s="136">
        <f t="shared" ref="AA10:AA19" ca="1" si="5">SUM(O10:Z10)</f>
        <v>8</v>
      </c>
      <c r="AB10" s="137"/>
      <c r="AC10" s="137"/>
      <c r="AD10" s="138"/>
      <c r="AE10" s="136">
        <f t="shared" ref="AE10:AE19" ca="1" si="6">K10-AA10</f>
        <v>0</v>
      </c>
      <c r="AF10" s="137"/>
      <c r="AG10" s="137"/>
      <c r="AH10" s="138"/>
      <c r="AI10" s="139">
        <f t="shared" ref="AI10:AI19" ca="1" si="7">IF($D10="","",SUM(INDIRECT("'"&amp;$D10&amp;"'!BugCount")))</f>
        <v>0</v>
      </c>
      <c r="AJ10" s="140"/>
      <c r="AK10" s="140"/>
      <c r="AL10" s="141"/>
    </row>
    <row r="11" spans="2:38" s="4" customFormat="1">
      <c r="B11" s="142">
        <v>2</v>
      </c>
      <c r="C11" s="143"/>
      <c r="D11" s="144" t="s">
        <v>84</v>
      </c>
      <c r="E11" s="145"/>
      <c r="F11" s="145"/>
      <c r="G11" s="145"/>
      <c r="H11" s="145"/>
      <c r="I11" s="145"/>
      <c r="J11" s="146"/>
      <c r="K11" s="136">
        <f t="shared" ca="1" si="0"/>
        <v>7</v>
      </c>
      <c r="L11" s="137"/>
      <c r="M11" s="137"/>
      <c r="N11" s="138"/>
      <c r="O11" s="142">
        <f t="shared" ca="1" si="1"/>
        <v>7</v>
      </c>
      <c r="P11" s="147"/>
      <c r="Q11" s="143"/>
      <c r="R11" s="142">
        <f t="shared" ca="1" si="2"/>
        <v>0</v>
      </c>
      <c r="S11" s="147"/>
      <c r="T11" s="143"/>
      <c r="U11" s="142">
        <f t="shared" ca="1" si="3"/>
        <v>0</v>
      </c>
      <c r="V11" s="147"/>
      <c r="W11" s="143"/>
      <c r="X11" s="142">
        <f t="shared" ca="1" si="4"/>
        <v>0</v>
      </c>
      <c r="Y11" s="147"/>
      <c r="Z11" s="143"/>
      <c r="AA11" s="136">
        <f t="shared" ca="1" si="5"/>
        <v>7</v>
      </c>
      <c r="AB11" s="137"/>
      <c r="AC11" s="137"/>
      <c r="AD11" s="138"/>
      <c r="AE11" s="136">
        <f t="shared" ca="1" si="6"/>
        <v>0</v>
      </c>
      <c r="AF11" s="137"/>
      <c r="AG11" s="137"/>
      <c r="AH11" s="138"/>
      <c r="AI11" s="139">
        <f t="shared" ca="1" si="7"/>
        <v>0</v>
      </c>
      <c r="AJ11" s="140"/>
      <c r="AK11" s="140"/>
      <c r="AL11" s="141"/>
    </row>
    <row r="12" spans="2:38" s="4" customFormat="1">
      <c r="B12" s="142">
        <v>3</v>
      </c>
      <c r="C12" s="143"/>
      <c r="D12" s="144" t="s">
        <v>100</v>
      </c>
      <c r="E12" s="145"/>
      <c r="F12" s="145"/>
      <c r="G12" s="145"/>
      <c r="H12" s="145"/>
      <c r="I12" s="145"/>
      <c r="J12" s="146"/>
      <c r="K12" s="136">
        <f t="shared" ca="1" si="0"/>
        <v>1</v>
      </c>
      <c r="L12" s="137"/>
      <c r="M12" s="137"/>
      <c r="N12" s="138"/>
      <c r="O12" s="142">
        <f t="shared" ca="1" si="1"/>
        <v>1</v>
      </c>
      <c r="P12" s="147"/>
      <c r="Q12" s="143"/>
      <c r="R12" s="142">
        <f t="shared" ca="1" si="2"/>
        <v>0</v>
      </c>
      <c r="S12" s="147"/>
      <c r="T12" s="143"/>
      <c r="U12" s="142">
        <f t="shared" ca="1" si="3"/>
        <v>0</v>
      </c>
      <c r="V12" s="147"/>
      <c r="W12" s="143"/>
      <c r="X12" s="142">
        <f t="shared" ca="1" si="4"/>
        <v>0</v>
      </c>
      <c r="Y12" s="147"/>
      <c r="Z12" s="143"/>
      <c r="AA12" s="136">
        <f t="shared" ca="1" si="5"/>
        <v>1</v>
      </c>
      <c r="AB12" s="137"/>
      <c r="AC12" s="137"/>
      <c r="AD12" s="138"/>
      <c r="AE12" s="136">
        <f t="shared" ca="1" si="6"/>
        <v>0</v>
      </c>
      <c r="AF12" s="137"/>
      <c r="AG12" s="137"/>
      <c r="AH12" s="138"/>
      <c r="AI12" s="139">
        <f t="shared" ca="1" si="7"/>
        <v>0</v>
      </c>
      <c r="AJ12" s="140"/>
      <c r="AK12" s="140"/>
      <c r="AL12" s="141"/>
    </row>
    <row r="13" spans="2:38" s="4" customFormat="1">
      <c r="B13" s="142">
        <v>4</v>
      </c>
      <c r="C13" s="143"/>
      <c r="D13" s="144" t="s">
        <v>106</v>
      </c>
      <c r="E13" s="145"/>
      <c r="F13" s="145"/>
      <c r="G13" s="145"/>
      <c r="H13" s="145"/>
      <c r="I13" s="145"/>
      <c r="J13" s="146"/>
      <c r="K13" s="136">
        <f t="shared" ca="1" si="0"/>
        <v>6</v>
      </c>
      <c r="L13" s="137"/>
      <c r="M13" s="137"/>
      <c r="N13" s="138"/>
      <c r="O13" s="142">
        <f t="shared" ca="1" si="1"/>
        <v>6</v>
      </c>
      <c r="P13" s="147"/>
      <c r="Q13" s="143"/>
      <c r="R13" s="142">
        <f t="shared" ca="1" si="2"/>
        <v>0</v>
      </c>
      <c r="S13" s="147"/>
      <c r="T13" s="143"/>
      <c r="U13" s="142">
        <f t="shared" ca="1" si="3"/>
        <v>0</v>
      </c>
      <c r="V13" s="147"/>
      <c r="W13" s="143"/>
      <c r="X13" s="142">
        <f t="shared" ca="1" si="4"/>
        <v>0</v>
      </c>
      <c r="Y13" s="147"/>
      <c r="Z13" s="143"/>
      <c r="AA13" s="136">
        <f t="shared" ca="1" si="5"/>
        <v>6</v>
      </c>
      <c r="AB13" s="137"/>
      <c r="AC13" s="137"/>
      <c r="AD13" s="138"/>
      <c r="AE13" s="136">
        <f t="shared" ca="1" si="6"/>
        <v>0</v>
      </c>
      <c r="AF13" s="137"/>
      <c r="AG13" s="137"/>
      <c r="AH13" s="138"/>
      <c r="AI13" s="139">
        <f t="shared" ca="1" si="7"/>
        <v>0</v>
      </c>
      <c r="AJ13" s="140"/>
      <c r="AK13" s="140"/>
      <c r="AL13" s="141"/>
    </row>
    <row r="14" spans="2:38" s="4" customFormat="1">
      <c r="B14" s="142">
        <v>5</v>
      </c>
      <c r="C14" s="143"/>
      <c r="D14" s="144" t="s">
        <v>120</v>
      </c>
      <c r="E14" s="145"/>
      <c r="F14" s="145"/>
      <c r="G14" s="145"/>
      <c r="H14" s="145"/>
      <c r="I14" s="145"/>
      <c r="J14" s="146"/>
      <c r="K14" s="136">
        <f t="shared" ca="1" si="0"/>
        <v>2</v>
      </c>
      <c r="L14" s="137"/>
      <c r="M14" s="137"/>
      <c r="N14" s="138"/>
      <c r="O14" s="142">
        <f t="shared" ca="1" si="1"/>
        <v>2</v>
      </c>
      <c r="P14" s="147"/>
      <c r="Q14" s="143"/>
      <c r="R14" s="142">
        <f t="shared" ca="1" si="2"/>
        <v>0</v>
      </c>
      <c r="S14" s="147"/>
      <c r="T14" s="143"/>
      <c r="U14" s="142">
        <f t="shared" ca="1" si="3"/>
        <v>0</v>
      </c>
      <c r="V14" s="147"/>
      <c r="W14" s="143"/>
      <c r="X14" s="142">
        <f t="shared" ca="1" si="4"/>
        <v>0</v>
      </c>
      <c r="Y14" s="147"/>
      <c r="Z14" s="143"/>
      <c r="AA14" s="136">
        <f t="shared" ca="1" si="5"/>
        <v>2</v>
      </c>
      <c r="AB14" s="137"/>
      <c r="AC14" s="137"/>
      <c r="AD14" s="138"/>
      <c r="AE14" s="136">
        <f t="shared" ca="1" si="6"/>
        <v>0</v>
      </c>
      <c r="AF14" s="137"/>
      <c r="AG14" s="137"/>
      <c r="AH14" s="138"/>
      <c r="AI14" s="139">
        <f t="shared" ca="1" si="7"/>
        <v>0</v>
      </c>
      <c r="AJ14" s="140"/>
      <c r="AK14" s="140"/>
      <c r="AL14" s="141"/>
    </row>
    <row r="15" spans="2:38" s="4" customFormat="1">
      <c r="B15" s="142">
        <v>6</v>
      </c>
      <c r="C15" s="143"/>
      <c r="D15" s="144" t="s">
        <v>128</v>
      </c>
      <c r="E15" s="145"/>
      <c r="F15" s="145"/>
      <c r="G15" s="145"/>
      <c r="H15" s="145"/>
      <c r="I15" s="145"/>
      <c r="J15" s="146"/>
      <c r="K15" s="136">
        <f t="shared" ca="1" si="0"/>
        <v>2</v>
      </c>
      <c r="L15" s="137"/>
      <c r="M15" s="137"/>
      <c r="N15" s="138"/>
      <c r="O15" s="142">
        <f t="shared" ca="1" si="1"/>
        <v>2</v>
      </c>
      <c r="P15" s="147"/>
      <c r="Q15" s="143"/>
      <c r="R15" s="142">
        <f t="shared" ca="1" si="2"/>
        <v>0</v>
      </c>
      <c r="S15" s="147"/>
      <c r="T15" s="143"/>
      <c r="U15" s="142">
        <f t="shared" ca="1" si="3"/>
        <v>0</v>
      </c>
      <c r="V15" s="147"/>
      <c r="W15" s="143"/>
      <c r="X15" s="142">
        <f t="shared" ca="1" si="4"/>
        <v>0</v>
      </c>
      <c r="Y15" s="147"/>
      <c r="Z15" s="143"/>
      <c r="AA15" s="136">
        <f t="shared" ca="1" si="5"/>
        <v>2</v>
      </c>
      <c r="AB15" s="137"/>
      <c r="AC15" s="137"/>
      <c r="AD15" s="138"/>
      <c r="AE15" s="136">
        <f t="shared" ca="1" si="6"/>
        <v>0</v>
      </c>
      <c r="AF15" s="137"/>
      <c r="AG15" s="137"/>
      <c r="AH15" s="138"/>
      <c r="AI15" s="139">
        <f t="shared" ca="1" si="7"/>
        <v>0</v>
      </c>
      <c r="AJ15" s="140"/>
      <c r="AK15" s="140"/>
      <c r="AL15" s="141"/>
    </row>
    <row r="16" spans="2:38" s="4" customFormat="1">
      <c r="B16" s="142">
        <v>7</v>
      </c>
      <c r="C16" s="143"/>
      <c r="D16" s="144" t="s">
        <v>203</v>
      </c>
      <c r="E16" s="145"/>
      <c r="F16" s="145"/>
      <c r="G16" s="145"/>
      <c r="H16" s="145"/>
      <c r="I16" s="145"/>
      <c r="J16" s="146"/>
      <c r="K16" s="136">
        <f t="shared" ca="1" si="0"/>
        <v>25</v>
      </c>
      <c r="L16" s="137"/>
      <c r="M16" s="137"/>
      <c r="N16" s="138"/>
      <c r="O16" s="142">
        <f t="shared" ca="1" si="1"/>
        <v>0</v>
      </c>
      <c r="P16" s="147"/>
      <c r="Q16" s="143"/>
      <c r="R16" s="142">
        <f t="shared" ca="1" si="2"/>
        <v>0</v>
      </c>
      <c r="S16" s="147"/>
      <c r="T16" s="143"/>
      <c r="U16" s="142">
        <f t="shared" ca="1" si="3"/>
        <v>0</v>
      </c>
      <c r="V16" s="147"/>
      <c r="W16" s="143"/>
      <c r="X16" s="142">
        <f t="shared" ca="1" si="4"/>
        <v>0</v>
      </c>
      <c r="Y16" s="147"/>
      <c r="Z16" s="143"/>
      <c r="AA16" s="136">
        <f t="shared" ca="1" si="5"/>
        <v>0</v>
      </c>
      <c r="AB16" s="137"/>
      <c r="AC16" s="137"/>
      <c r="AD16" s="138"/>
      <c r="AE16" s="136">
        <f t="shared" ca="1" si="6"/>
        <v>25</v>
      </c>
      <c r="AF16" s="137"/>
      <c r="AG16" s="137"/>
      <c r="AH16" s="138"/>
      <c r="AI16" s="139">
        <f t="shared" ca="1" si="7"/>
        <v>0</v>
      </c>
      <c r="AJ16" s="140"/>
      <c r="AK16" s="140"/>
      <c r="AL16" s="141"/>
    </row>
    <row r="17" spans="1:38" s="4" customFormat="1">
      <c r="B17" s="142">
        <v>8</v>
      </c>
      <c r="C17" s="143"/>
      <c r="D17" s="144" t="s">
        <v>244</v>
      </c>
      <c r="E17" s="145"/>
      <c r="F17" s="145"/>
      <c r="G17" s="145"/>
      <c r="H17" s="145"/>
      <c r="I17" s="145"/>
      <c r="J17" s="146"/>
      <c r="K17" s="136">
        <f t="shared" ca="1" si="0"/>
        <v>27</v>
      </c>
      <c r="L17" s="137"/>
      <c r="M17" s="137"/>
      <c r="N17" s="138"/>
      <c r="O17" s="142">
        <f t="shared" ca="1" si="1"/>
        <v>0</v>
      </c>
      <c r="P17" s="147"/>
      <c r="Q17" s="143"/>
      <c r="R17" s="142">
        <f t="shared" ca="1" si="2"/>
        <v>0</v>
      </c>
      <c r="S17" s="147"/>
      <c r="T17" s="143"/>
      <c r="U17" s="142">
        <f t="shared" ca="1" si="3"/>
        <v>0</v>
      </c>
      <c r="V17" s="147"/>
      <c r="W17" s="143"/>
      <c r="X17" s="142">
        <f t="shared" ca="1" si="4"/>
        <v>0</v>
      </c>
      <c r="Y17" s="147"/>
      <c r="Z17" s="143"/>
      <c r="AA17" s="136">
        <f t="shared" ca="1" si="5"/>
        <v>0</v>
      </c>
      <c r="AB17" s="137"/>
      <c r="AC17" s="137"/>
      <c r="AD17" s="138"/>
      <c r="AE17" s="136">
        <f t="shared" ca="1" si="6"/>
        <v>27</v>
      </c>
      <c r="AF17" s="137"/>
      <c r="AG17" s="137"/>
      <c r="AH17" s="138"/>
      <c r="AI17" s="139">
        <f t="shared" ca="1" si="7"/>
        <v>0</v>
      </c>
      <c r="AJ17" s="140"/>
      <c r="AK17" s="140"/>
      <c r="AL17" s="141"/>
    </row>
    <row r="18" spans="1:38" s="4" customFormat="1">
      <c r="B18" s="142">
        <v>9</v>
      </c>
      <c r="C18" s="143"/>
      <c r="D18" s="144" t="s">
        <v>243</v>
      </c>
      <c r="E18" s="145"/>
      <c r="F18" s="145"/>
      <c r="G18" s="145"/>
      <c r="H18" s="145"/>
      <c r="I18" s="145"/>
      <c r="J18" s="146"/>
      <c r="K18" s="136">
        <f t="shared" ca="1" si="0"/>
        <v>6</v>
      </c>
      <c r="L18" s="137"/>
      <c r="M18" s="137"/>
      <c r="N18" s="138"/>
      <c r="O18" s="142">
        <f t="shared" ca="1" si="1"/>
        <v>0</v>
      </c>
      <c r="P18" s="147"/>
      <c r="Q18" s="143"/>
      <c r="R18" s="142">
        <f t="shared" ca="1" si="2"/>
        <v>0</v>
      </c>
      <c r="S18" s="147"/>
      <c r="T18" s="143"/>
      <c r="U18" s="142">
        <f t="shared" ca="1" si="3"/>
        <v>0</v>
      </c>
      <c r="V18" s="147"/>
      <c r="W18" s="143"/>
      <c r="X18" s="142">
        <f t="shared" ca="1" si="4"/>
        <v>0</v>
      </c>
      <c r="Y18" s="147"/>
      <c r="Z18" s="143"/>
      <c r="AA18" s="136">
        <f t="shared" ca="1" si="5"/>
        <v>0</v>
      </c>
      <c r="AB18" s="137"/>
      <c r="AC18" s="137"/>
      <c r="AD18" s="138"/>
      <c r="AE18" s="136">
        <f t="shared" ca="1" si="6"/>
        <v>6</v>
      </c>
      <c r="AF18" s="137"/>
      <c r="AG18" s="137"/>
      <c r="AH18" s="138"/>
      <c r="AI18" s="139">
        <f t="shared" ca="1" si="7"/>
        <v>0</v>
      </c>
      <c r="AJ18" s="140"/>
      <c r="AK18" s="140"/>
      <c r="AL18" s="141"/>
    </row>
    <row r="19" spans="1:38" s="4" customFormat="1">
      <c r="B19" s="142">
        <v>10</v>
      </c>
      <c r="C19" s="143"/>
      <c r="D19" s="144" t="s">
        <v>245</v>
      </c>
      <c r="E19" s="145"/>
      <c r="F19" s="145"/>
      <c r="G19" s="145"/>
      <c r="H19" s="145"/>
      <c r="I19" s="145"/>
      <c r="J19" s="146"/>
      <c r="K19" s="136">
        <f t="shared" ca="1" si="0"/>
        <v>2</v>
      </c>
      <c r="L19" s="137"/>
      <c r="M19" s="137"/>
      <c r="N19" s="138"/>
      <c r="O19" s="142">
        <f t="shared" ca="1" si="1"/>
        <v>0</v>
      </c>
      <c r="P19" s="147"/>
      <c r="Q19" s="143"/>
      <c r="R19" s="142">
        <f t="shared" ca="1" si="2"/>
        <v>0</v>
      </c>
      <c r="S19" s="147"/>
      <c r="T19" s="143"/>
      <c r="U19" s="142">
        <f t="shared" ca="1" si="3"/>
        <v>0</v>
      </c>
      <c r="V19" s="147"/>
      <c r="W19" s="143"/>
      <c r="X19" s="142">
        <f t="shared" ca="1" si="4"/>
        <v>0</v>
      </c>
      <c r="Y19" s="147"/>
      <c r="Z19" s="143"/>
      <c r="AA19" s="136">
        <f t="shared" ca="1" si="5"/>
        <v>0</v>
      </c>
      <c r="AB19" s="137"/>
      <c r="AC19" s="137"/>
      <c r="AD19" s="138"/>
      <c r="AE19" s="136">
        <f t="shared" ca="1" si="6"/>
        <v>2</v>
      </c>
      <c r="AF19" s="137"/>
      <c r="AG19" s="137"/>
      <c r="AH19" s="138"/>
      <c r="AI19" s="139">
        <f t="shared" ca="1" si="7"/>
        <v>0</v>
      </c>
      <c r="AJ19" s="140"/>
      <c r="AK19" s="140"/>
      <c r="AL19" s="141"/>
    </row>
    <row r="20" spans="1:38" s="8" customFormat="1" ht="20.25">
      <c r="B20" s="5"/>
      <c r="C20" s="5"/>
      <c r="D20" s="6"/>
      <c r="E20" s="52"/>
      <c r="F20" s="52"/>
      <c r="G20" s="52"/>
      <c r="H20" s="52"/>
      <c r="I20" s="52"/>
      <c r="J20" s="52"/>
      <c r="K20" s="7"/>
      <c r="L20" s="7"/>
      <c r="M20" s="7"/>
      <c r="N20" s="7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"/>
      <c r="AG20" s="7"/>
      <c r="AH20" s="7"/>
      <c r="AI20" s="7"/>
      <c r="AJ20" s="7"/>
      <c r="AK20" s="7"/>
      <c r="AL20" s="7"/>
    </row>
    <row r="21" spans="1:38" s="4" customFormat="1">
      <c r="A21" s="4" t="s">
        <v>42</v>
      </c>
      <c r="B21" s="178" t="s">
        <v>2</v>
      </c>
      <c r="C21" s="179"/>
      <c r="D21" s="179"/>
      <c r="E21" s="179"/>
      <c r="F21" s="179"/>
      <c r="G21" s="179"/>
      <c r="H21" s="179"/>
      <c r="I21" s="179"/>
      <c r="J21" s="180"/>
      <c r="K21" s="169">
        <f ca="1">SUBTOTAL(9,K9:K20)</f>
        <v>86</v>
      </c>
      <c r="L21" s="170"/>
      <c r="M21" s="170"/>
      <c r="N21" s="171"/>
      <c r="O21" s="166">
        <f ca="1">SUBTOTAL(9,O9:O20)</f>
        <v>26</v>
      </c>
      <c r="P21" s="167"/>
      <c r="Q21" s="168"/>
      <c r="R21" s="166">
        <f ca="1">SUBTOTAL(9,R9:R20)</f>
        <v>0</v>
      </c>
      <c r="S21" s="167"/>
      <c r="T21" s="168"/>
      <c r="U21" s="166">
        <f ca="1">SUBTOTAL(9,U9:U20)</f>
        <v>0</v>
      </c>
      <c r="V21" s="167"/>
      <c r="W21" s="168"/>
      <c r="X21" s="166">
        <f ca="1">SUBTOTAL(9,X9:X20)</f>
        <v>0</v>
      </c>
      <c r="Y21" s="167"/>
      <c r="Z21" s="168"/>
      <c r="AA21" s="166">
        <f ca="1">SUBTOTAL(9,AA9:AA20)</f>
        <v>26</v>
      </c>
      <c r="AB21" s="167"/>
      <c r="AC21" s="167"/>
      <c r="AD21" s="168"/>
      <c r="AE21" s="166">
        <f ca="1">SUBTOTAL(9,AE9:AE20)</f>
        <v>60</v>
      </c>
      <c r="AF21" s="167"/>
      <c r="AG21" s="167"/>
      <c r="AH21" s="168"/>
      <c r="AI21" s="169">
        <f ca="1">SUBTOTAL(9,AI9:AI20)</f>
        <v>0</v>
      </c>
      <c r="AJ21" s="170"/>
      <c r="AK21" s="170"/>
      <c r="AL21" s="171"/>
    </row>
    <row r="22" spans="1:38" s="4" customFormat="1" ht="12.75" customHeight="1">
      <c r="B22" s="178" t="s">
        <v>3</v>
      </c>
      <c r="C22" s="179"/>
      <c r="D22" s="179"/>
      <c r="E22" s="179"/>
      <c r="F22" s="179"/>
      <c r="G22" s="179"/>
      <c r="H22" s="179"/>
      <c r="I22" s="179"/>
      <c r="J22" s="180"/>
      <c r="K22" s="172"/>
      <c r="L22" s="173"/>
      <c r="M22" s="173"/>
      <c r="N22" s="174"/>
      <c r="O22" s="163">
        <f ca="1">IF(ISERR(O21/$K$21),0,O21/$K$21)</f>
        <v>0.30232558139534882</v>
      </c>
      <c r="P22" s="164"/>
      <c r="Q22" s="165"/>
      <c r="R22" s="163">
        <f ca="1">IF(ISERR(R21/$K$21),0,R21/$K$21)</f>
        <v>0</v>
      </c>
      <c r="S22" s="164"/>
      <c r="T22" s="165"/>
      <c r="U22" s="163">
        <f ca="1">IF(ISERR(U21/$K$21),0,U21/$K$21)</f>
        <v>0</v>
      </c>
      <c r="V22" s="164"/>
      <c r="W22" s="165"/>
      <c r="X22" s="163">
        <f ca="1">IF(ISERR(X21/$K$21),0,X21/$K$21)</f>
        <v>0</v>
      </c>
      <c r="Y22" s="164"/>
      <c r="Z22" s="165"/>
      <c r="AA22" s="163">
        <f ca="1">IF(ISERR(AA21/$K$21),0,AA21/$K$21)</f>
        <v>0.30232558139534882</v>
      </c>
      <c r="AB22" s="164"/>
      <c r="AC22" s="164"/>
      <c r="AD22" s="165"/>
      <c r="AE22" s="163">
        <f ca="1">IF(ISERR(AE21/$K$21),0,AE21/$K$21)</f>
        <v>0.69767441860465118</v>
      </c>
      <c r="AF22" s="164"/>
      <c r="AG22" s="164"/>
      <c r="AH22" s="165"/>
      <c r="AI22" s="172"/>
      <c r="AJ22" s="173"/>
      <c r="AK22" s="173"/>
      <c r="AL22" s="174"/>
    </row>
    <row r="38" spans="2:15" ht="15" customHeight="1">
      <c r="B38" s="187" t="s">
        <v>49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</row>
    <row r="39" spans="2:15"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87"/>
      <c r="N39" s="187"/>
      <c r="O39" s="187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145">
    <mergeCell ref="B8:C8"/>
    <mergeCell ref="D8:J8"/>
    <mergeCell ref="AI9:AL9"/>
    <mergeCell ref="K10:N10"/>
    <mergeCell ref="R10:T10"/>
    <mergeCell ref="B38:O39"/>
    <mergeCell ref="U22:W22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AI11:AL11"/>
    <mergeCell ref="B11:C11"/>
    <mergeCell ref="D11:J11"/>
    <mergeCell ref="X22:Z22"/>
    <mergeCell ref="X10:Z10"/>
    <mergeCell ref="X21:Z21"/>
    <mergeCell ref="U10:W10"/>
    <mergeCell ref="U21:W21"/>
    <mergeCell ref="AA10:AD10"/>
    <mergeCell ref="AA21:AD21"/>
    <mergeCell ref="AA12:AD12"/>
    <mergeCell ref="D10:J10"/>
    <mergeCell ref="K11:N11"/>
    <mergeCell ref="O11:Q11"/>
    <mergeCell ref="R11:T11"/>
    <mergeCell ref="U11:W11"/>
    <mergeCell ref="B21:J21"/>
    <mergeCell ref="B22:J22"/>
    <mergeCell ref="B10:C10"/>
    <mergeCell ref="K21:N22"/>
    <mergeCell ref="O10:Q10"/>
    <mergeCell ref="O21:Q21"/>
    <mergeCell ref="O22:Q22"/>
    <mergeCell ref="R13:T13"/>
    <mergeCell ref="U13:W13"/>
    <mergeCell ref="X13:Z13"/>
    <mergeCell ref="AA13:AD13"/>
    <mergeCell ref="B9:C9"/>
    <mergeCell ref="D9:J9"/>
    <mergeCell ref="B12:C12"/>
    <mergeCell ref="D12:J12"/>
    <mergeCell ref="B14:C14"/>
    <mergeCell ref="D14:J14"/>
    <mergeCell ref="B16:C16"/>
    <mergeCell ref="D16:J16"/>
    <mergeCell ref="B18:C18"/>
    <mergeCell ref="D18:J18"/>
    <mergeCell ref="B13:C13"/>
    <mergeCell ref="D13:J13"/>
    <mergeCell ref="B15:C15"/>
    <mergeCell ref="D15:J15"/>
    <mergeCell ref="AI8:AL8"/>
    <mergeCell ref="K8:N8"/>
    <mergeCell ref="AA9:AD9"/>
    <mergeCell ref="AA8:AD8"/>
    <mergeCell ref="O8:Z8"/>
    <mergeCell ref="X9:Z9"/>
    <mergeCell ref="R9:T9"/>
    <mergeCell ref="U9:W9"/>
    <mergeCell ref="R22:T22"/>
    <mergeCell ref="AE8:AH8"/>
    <mergeCell ref="AE9:AH9"/>
    <mergeCell ref="AA22:AD22"/>
    <mergeCell ref="R21:T21"/>
    <mergeCell ref="AI21:AL22"/>
    <mergeCell ref="AE10:AH10"/>
    <mergeCell ref="AE21:AH21"/>
    <mergeCell ref="AE22:AH22"/>
    <mergeCell ref="X11:Z11"/>
    <mergeCell ref="AA11:AD11"/>
    <mergeCell ref="AE11:AH11"/>
    <mergeCell ref="AE12:AH12"/>
    <mergeCell ref="AI12:AL12"/>
    <mergeCell ref="K13:N13"/>
    <mergeCell ref="O13:Q13"/>
    <mergeCell ref="AE13:AH13"/>
    <mergeCell ref="AI13:AL13"/>
    <mergeCell ref="K12:N12"/>
    <mergeCell ref="O12:Q12"/>
    <mergeCell ref="R12:T12"/>
    <mergeCell ref="U12:W12"/>
    <mergeCell ref="X12:Z12"/>
    <mergeCell ref="AA14:AD14"/>
    <mergeCell ref="AE14:AH14"/>
    <mergeCell ref="AI14:AL14"/>
    <mergeCell ref="K15:N15"/>
    <mergeCell ref="O15:Q15"/>
    <mergeCell ref="R15:T15"/>
    <mergeCell ref="U15:W15"/>
    <mergeCell ref="X15:Z15"/>
    <mergeCell ref="AA15:AD15"/>
    <mergeCell ref="AE15:AH15"/>
    <mergeCell ref="AI15:AL15"/>
    <mergeCell ref="K14:N14"/>
    <mergeCell ref="O14:Q14"/>
    <mergeCell ref="R14:T14"/>
    <mergeCell ref="U14:W14"/>
    <mergeCell ref="X14:Z14"/>
    <mergeCell ref="AA16:AD16"/>
    <mergeCell ref="AE16:AH16"/>
    <mergeCell ref="AI16:AL16"/>
    <mergeCell ref="B17:C17"/>
    <mergeCell ref="D17:J17"/>
    <mergeCell ref="K17:N17"/>
    <mergeCell ref="O17:Q17"/>
    <mergeCell ref="R17:T17"/>
    <mergeCell ref="U17:W17"/>
    <mergeCell ref="X17:Z17"/>
    <mergeCell ref="AA17:AD17"/>
    <mergeCell ref="AE17:AH17"/>
    <mergeCell ref="AI17:AL17"/>
    <mergeCell ref="K16:N16"/>
    <mergeCell ref="O16:Q16"/>
    <mergeCell ref="R16:T16"/>
    <mergeCell ref="U16:W16"/>
    <mergeCell ref="X16:Z16"/>
    <mergeCell ref="AA18:AD18"/>
    <mergeCell ref="AE18:AH18"/>
    <mergeCell ref="AI18:AL18"/>
    <mergeCell ref="B19:C19"/>
    <mergeCell ref="D19:J19"/>
    <mergeCell ref="K19:N19"/>
    <mergeCell ref="O19:Q19"/>
    <mergeCell ref="R19:T19"/>
    <mergeCell ref="U19:W19"/>
    <mergeCell ref="X19:Z19"/>
    <mergeCell ref="AA19:AD19"/>
    <mergeCell ref="AE19:AH19"/>
    <mergeCell ref="AI19:AL19"/>
    <mergeCell ref="K18:N18"/>
    <mergeCell ref="O18:Q18"/>
    <mergeCell ref="R18:T18"/>
    <mergeCell ref="U18:W18"/>
    <mergeCell ref="X18:Z18"/>
  </mergeCells>
  <phoneticPr fontId="3"/>
  <conditionalFormatting sqref="K20:AL20 K4:AL4 AI3:AL3 K3:AE3 AI10:AL19 K10:AE19">
    <cfRule type="cellIs" dxfId="36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3" r:id="rId4" name="Button 23">
              <controlPr defaultSize="0" print="0" autoFill="0" autoPict="0" macro="[0]!AddNewPC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17" t="s">
        <v>8</v>
      </c>
      <c r="C1" s="218"/>
      <c r="D1" s="218"/>
      <c r="E1" s="219"/>
      <c r="F1" s="217" t="s">
        <v>6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0</v>
      </c>
      <c r="Q1" s="227"/>
      <c r="R1" s="227"/>
      <c r="S1" s="228"/>
      <c r="T1" s="217" t="s">
        <v>9</v>
      </c>
      <c r="U1" s="218"/>
      <c r="V1" s="218"/>
      <c r="W1" s="218"/>
      <c r="X1" s="218"/>
      <c r="Y1" s="218"/>
      <c r="Z1" s="219"/>
      <c r="AA1" s="229" t="s">
        <v>10</v>
      </c>
      <c r="AB1" s="229"/>
      <c r="AC1" s="230"/>
      <c r="AD1" s="230"/>
      <c r="AE1" s="230"/>
      <c r="AF1" s="231"/>
    </row>
    <row r="2" spans="1:32" ht="20.100000000000001" customHeight="1" thickBot="1">
      <c r="A2" s="64" t="s">
        <v>4</v>
      </c>
      <c r="B2" s="220" t="s">
        <v>8</v>
      </c>
      <c r="C2" s="221"/>
      <c r="D2" s="221"/>
      <c r="E2" s="222"/>
      <c r="F2" s="220" t="s">
        <v>7</v>
      </c>
      <c r="G2" s="221"/>
      <c r="H2" s="222"/>
      <c r="I2" s="223" t="s">
        <v>11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12</v>
      </c>
      <c r="AB2" s="233"/>
      <c r="AC2" s="220" t="s">
        <v>13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07" t="s">
        <v>21</v>
      </c>
      <c r="C4" s="207"/>
      <c r="D4" s="207"/>
      <c r="E4" s="207"/>
      <c r="F4" s="207"/>
      <c r="G4" s="20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22</v>
      </c>
      <c r="C5" s="212"/>
      <c r="D5" s="212"/>
      <c r="E5" s="212"/>
      <c r="F5" s="212"/>
      <c r="G5" s="21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1"/>
      <c r="C6" s="213" t="s">
        <v>23</v>
      </c>
      <c r="D6" s="214"/>
      <c r="E6" s="214"/>
      <c r="F6" s="214"/>
      <c r="G6" s="214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"/>
      <c r="C7" s="215"/>
      <c r="D7" s="211"/>
      <c r="E7" s="214"/>
      <c r="F7" s="214"/>
      <c r="G7" s="214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21"/>
      <c r="C8" s="215"/>
      <c r="D8" s="211"/>
      <c r="E8" s="214"/>
      <c r="F8" s="214"/>
      <c r="G8" s="214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1"/>
      <c r="C9" s="216" t="s">
        <v>24</v>
      </c>
      <c r="D9" s="214"/>
      <c r="E9" s="214"/>
      <c r="F9" s="214"/>
      <c r="G9" s="214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1"/>
      <c r="C10" s="215"/>
      <c r="D10" s="211"/>
      <c r="E10" s="214"/>
      <c r="F10" s="214"/>
      <c r="G10" s="214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1"/>
      <c r="C11" s="215"/>
      <c r="D11" s="211"/>
      <c r="E11" s="214"/>
      <c r="F11" s="214"/>
      <c r="G11" s="214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0"/>
      <c r="B12" s="21"/>
      <c r="C12" s="211"/>
      <c r="D12" s="214"/>
      <c r="E12" s="214"/>
      <c r="F12" s="214"/>
      <c r="G12" s="214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0"/>
      <c r="B13" s="21"/>
      <c r="C13" s="215"/>
      <c r="D13" s="211"/>
      <c r="E13" s="214"/>
      <c r="F13" s="214"/>
      <c r="G13" s="214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0"/>
      <c r="B14" s="21"/>
      <c r="C14" s="215"/>
      <c r="D14" s="211"/>
      <c r="E14" s="214"/>
      <c r="F14" s="214"/>
      <c r="G14" s="214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3" t="s">
        <v>46</v>
      </c>
      <c r="B15" s="206" t="s">
        <v>25</v>
      </c>
      <c r="C15" s="207"/>
      <c r="D15" s="207"/>
      <c r="E15" s="207"/>
      <c r="F15" s="207"/>
      <c r="G15" s="207"/>
      <c r="H15" s="25"/>
      <c r="I15" s="26"/>
      <c r="J15" s="26"/>
      <c r="K15" s="68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4"/>
      <c r="B16" s="28"/>
      <c r="C16" s="193" t="s">
        <v>26</v>
      </c>
      <c r="D16" s="194"/>
      <c r="E16" s="194"/>
      <c r="F16" s="194"/>
      <c r="G16" s="194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4"/>
      <c r="B17" s="208"/>
      <c r="C17" s="193" t="s">
        <v>27</v>
      </c>
      <c r="D17" s="194"/>
      <c r="E17" s="194"/>
      <c r="F17" s="194"/>
      <c r="G17" s="194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4"/>
      <c r="B18" s="208"/>
      <c r="C18" s="193" t="s">
        <v>28</v>
      </c>
      <c r="D18" s="194"/>
      <c r="E18" s="194"/>
      <c r="F18" s="194"/>
      <c r="G18" s="194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4"/>
      <c r="B19" s="208"/>
      <c r="C19" s="193" t="s">
        <v>29</v>
      </c>
      <c r="D19" s="194"/>
      <c r="E19" s="194"/>
      <c r="F19" s="194"/>
      <c r="G19" s="194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4"/>
      <c r="B20" s="208"/>
      <c r="C20" s="193"/>
      <c r="D20" s="194"/>
      <c r="E20" s="194"/>
      <c r="F20" s="194"/>
      <c r="G20" s="194"/>
      <c r="H20" s="29"/>
      <c r="I20" s="30"/>
      <c r="J20" s="30"/>
      <c r="K20" s="69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4"/>
      <c r="B21" s="208"/>
      <c r="C21" s="193"/>
      <c r="D21" s="194"/>
      <c r="E21" s="194"/>
      <c r="F21" s="194"/>
      <c r="G21" s="194"/>
      <c r="H21" s="29"/>
      <c r="I21" s="30"/>
      <c r="J21" s="30"/>
      <c r="K21" s="6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4"/>
      <c r="B22" s="208"/>
      <c r="C22" s="193"/>
      <c r="D22" s="194"/>
      <c r="E22" s="194"/>
      <c r="F22" s="194"/>
      <c r="G22" s="194"/>
      <c r="H22" s="29"/>
      <c r="I22" s="30"/>
      <c r="J22" s="30"/>
      <c r="K22" s="69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5"/>
      <c r="B23" s="208"/>
      <c r="C23" s="191"/>
      <c r="D23" s="192"/>
      <c r="E23" s="192"/>
      <c r="F23" s="192"/>
      <c r="G23" s="192"/>
      <c r="H23" s="32"/>
      <c r="I23" s="33"/>
      <c r="J23" s="33"/>
      <c r="K23" s="71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5" t="s">
        <v>47</v>
      </c>
      <c r="B24" s="197"/>
      <c r="C24" s="198"/>
      <c r="D24" s="198"/>
      <c r="E24" s="198"/>
      <c r="F24" s="199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6"/>
      <c r="B25" s="200"/>
      <c r="C25" s="201"/>
      <c r="D25" s="201"/>
      <c r="E25" s="201"/>
      <c r="F25" s="202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6"/>
      <c r="B26" s="200"/>
      <c r="C26" s="201"/>
      <c r="D26" s="201"/>
      <c r="E26" s="201"/>
      <c r="F26" s="202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6"/>
      <c r="B27" s="200"/>
      <c r="C27" s="201"/>
      <c r="D27" s="201"/>
      <c r="E27" s="201"/>
      <c r="F27" s="202"/>
      <c r="G27" s="46" t="s">
        <v>39</v>
      </c>
      <c r="H27" s="40"/>
      <c r="I27" s="41"/>
      <c r="J27" s="41"/>
      <c r="K27" s="41"/>
      <c r="L27" s="41"/>
      <c r="M27" s="41"/>
      <c r="N27" s="70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35" t="s">
        <v>48</v>
      </c>
      <c r="B28" s="237" t="s">
        <v>40</v>
      </c>
      <c r="C28" s="237"/>
      <c r="D28" s="237"/>
      <c r="E28" s="237"/>
      <c r="F28" s="238" t="str">
        <f>GetBugSheetName()</f>
        <v>Summary_</v>
      </c>
      <c r="G28" s="239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36"/>
      <c r="B29" s="223" t="s">
        <v>30</v>
      </c>
      <c r="C29" s="224"/>
      <c r="D29" s="224"/>
      <c r="E29" s="225"/>
      <c r="F29" s="223"/>
      <c r="G29" s="240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35" priority="1" stopIfTrue="1">
      <formula>H$27="NA"</formula>
    </cfRule>
    <cfRule type="expression" dxfId="34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F35"/>
  <sheetViews>
    <sheetView view="pageBreakPreview" zoomScale="85" zoomScaleNormal="70" workbookViewId="0">
      <pane xSplit="7" ySplit="3" topLeftCell="H14" activePane="bottomRight" state="frozen"/>
      <selection activeCell="A5" sqref="A5"/>
      <selection pane="topRight" activeCell="A5" sqref="A5"/>
      <selection pane="bottomLeft" activeCell="A5" sqref="A5"/>
      <selection pane="bottomRight" activeCell="S31" sqref="S3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246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247</v>
      </c>
      <c r="AB2" s="233"/>
      <c r="AC2" s="220" t="s">
        <v>248</v>
      </c>
      <c r="AD2" s="221"/>
      <c r="AE2" s="221"/>
      <c r="AF2" s="234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IF(COUNTA(H4:H29)&gt;0,1,"")</f>
        <v>1</v>
      </c>
      <c r="I3" s="12">
        <f t="shared" ref="I3:AF3" si="0">IF(COUNTA(I4:I29)&gt;0,IF(H3&gt;0,H3+1,""),"")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52</v>
      </c>
      <c r="B4" s="207" t="s">
        <v>249</v>
      </c>
      <c r="C4" s="207"/>
      <c r="D4" s="207"/>
      <c r="E4" s="207"/>
      <c r="F4" s="207"/>
      <c r="G4" s="20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56</v>
      </c>
      <c r="C5" s="212"/>
      <c r="D5" s="212"/>
      <c r="E5" s="212"/>
      <c r="F5" s="212"/>
      <c r="G5" s="241"/>
      <c r="H5" s="80" t="s">
        <v>80</v>
      </c>
      <c r="I5" s="81" t="s">
        <v>80</v>
      </c>
      <c r="J5" s="81" t="s">
        <v>80</v>
      </c>
      <c r="K5" s="81" t="s">
        <v>80</v>
      </c>
      <c r="L5" s="81" t="s">
        <v>80</v>
      </c>
      <c r="M5" s="81" t="s">
        <v>80</v>
      </c>
      <c r="N5" s="81" t="s">
        <v>80</v>
      </c>
      <c r="O5" s="23" t="s">
        <v>80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15"/>
      <c r="C6" s="242" t="s">
        <v>57</v>
      </c>
      <c r="D6" s="243"/>
      <c r="E6" s="243"/>
      <c r="F6" s="243"/>
      <c r="G6" s="244"/>
      <c r="H6" s="81" t="s">
        <v>80</v>
      </c>
      <c r="I6" s="81"/>
      <c r="J6" s="81"/>
      <c r="K6" s="81"/>
      <c r="L6" s="81"/>
      <c r="M6" s="19"/>
      <c r="N6" s="19"/>
      <c r="O6" s="82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5"/>
      <c r="C7" s="252" t="s">
        <v>58</v>
      </c>
      <c r="D7" s="252"/>
      <c r="E7" s="252"/>
      <c r="F7" s="252"/>
      <c r="G7" s="253"/>
      <c r="H7" s="83"/>
      <c r="I7" s="81" t="s">
        <v>80</v>
      </c>
      <c r="J7" s="81"/>
      <c r="K7" s="81"/>
      <c r="L7" s="81"/>
      <c r="M7" s="19"/>
      <c r="N7" s="19"/>
      <c r="O7" s="82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215"/>
      <c r="C8" s="245" t="s">
        <v>59</v>
      </c>
      <c r="D8" s="246"/>
      <c r="E8" s="246"/>
      <c r="F8" s="246"/>
      <c r="G8" s="247"/>
      <c r="H8" s="23"/>
      <c r="I8" s="23"/>
      <c r="J8" s="23"/>
      <c r="K8" s="23"/>
      <c r="L8" s="23"/>
      <c r="M8" s="23"/>
      <c r="N8" s="23"/>
      <c r="O8" s="82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15"/>
      <c r="C9" s="254"/>
      <c r="D9" s="245" t="s">
        <v>60</v>
      </c>
      <c r="E9" s="246"/>
      <c r="F9" s="246"/>
      <c r="G9" s="247"/>
      <c r="H9" s="23"/>
      <c r="I9" s="23"/>
      <c r="J9" s="81" t="s">
        <v>80</v>
      </c>
      <c r="K9" s="82"/>
      <c r="L9" s="23"/>
      <c r="M9" s="82"/>
      <c r="N9" s="23"/>
      <c r="O9" s="82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15"/>
      <c r="C10" s="215"/>
      <c r="D10" s="245" t="s">
        <v>61</v>
      </c>
      <c r="E10" s="246"/>
      <c r="F10" s="246"/>
      <c r="G10" s="247"/>
      <c r="H10" s="23"/>
      <c r="I10" s="23"/>
      <c r="J10" s="23"/>
      <c r="K10" s="81" t="s">
        <v>80</v>
      </c>
      <c r="L10" s="82"/>
      <c r="M10" s="82"/>
      <c r="N10" s="23"/>
      <c r="O10" s="82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15"/>
      <c r="C11" s="255"/>
      <c r="D11" s="245" t="s">
        <v>62</v>
      </c>
      <c r="E11" s="246"/>
      <c r="F11" s="246"/>
      <c r="G11" s="247"/>
      <c r="H11" s="30"/>
      <c r="I11" s="23"/>
      <c r="J11" s="23"/>
      <c r="K11" s="81"/>
      <c r="L11" s="82" t="s">
        <v>80</v>
      </c>
      <c r="M11" s="82"/>
      <c r="N11" s="23"/>
      <c r="O11" s="82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0"/>
      <c r="B12" s="215"/>
      <c r="C12" s="253" t="s">
        <v>63</v>
      </c>
      <c r="D12" s="256"/>
      <c r="E12" s="256"/>
      <c r="F12" s="256"/>
      <c r="G12" s="257"/>
      <c r="H12" s="30"/>
      <c r="I12" s="23"/>
      <c r="J12" s="23"/>
      <c r="K12" s="81"/>
      <c r="L12" s="81"/>
      <c r="M12" s="81" t="s">
        <v>80</v>
      </c>
      <c r="N12" s="82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0"/>
      <c r="B13" s="215"/>
      <c r="C13" s="253" t="s">
        <v>64</v>
      </c>
      <c r="D13" s="256"/>
      <c r="E13" s="256"/>
      <c r="F13" s="256"/>
      <c r="G13" s="257"/>
      <c r="H13" s="30"/>
      <c r="I13" s="30"/>
      <c r="J13" s="30"/>
      <c r="K13" s="84"/>
      <c r="L13" s="84"/>
      <c r="M13" s="84"/>
      <c r="N13" s="81" t="s">
        <v>80</v>
      </c>
      <c r="O13" s="30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0"/>
      <c r="B14" s="251"/>
      <c r="C14" s="258" t="s">
        <v>65</v>
      </c>
      <c r="D14" s="258"/>
      <c r="E14" s="258"/>
      <c r="F14" s="258"/>
      <c r="G14" s="259"/>
      <c r="H14" s="33"/>
      <c r="I14" s="33"/>
      <c r="J14" s="33"/>
      <c r="K14" s="33"/>
      <c r="L14" s="33"/>
      <c r="M14" s="33"/>
      <c r="N14" s="85"/>
      <c r="O14" s="85" t="s">
        <v>80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3" t="s">
        <v>53</v>
      </c>
      <c r="B15" s="248" t="s">
        <v>66</v>
      </c>
      <c r="C15" s="249"/>
      <c r="D15" s="249"/>
      <c r="E15" s="249"/>
      <c r="F15" s="249"/>
      <c r="G15" s="249"/>
      <c r="H15" s="86"/>
      <c r="I15" s="87"/>
      <c r="J15" s="87"/>
      <c r="K15" s="87"/>
      <c r="L15" s="87"/>
      <c r="M15" s="87"/>
      <c r="N15" s="87"/>
      <c r="O15" s="87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4"/>
      <c r="B16" s="254"/>
      <c r="C16" s="193" t="s">
        <v>67</v>
      </c>
      <c r="D16" s="194"/>
      <c r="E16" s="194"/>
      <c r="F16" s="194"/>
      <c r="G16" s="250"/>
      <c r="H16" s="88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4"/>
      <c r="B17" s="215"/>
      <c r="C17" s="261"/>
      <c r="D17" s="194" t="s">
        <v>68</v>
      </c>
      <c r="E17" s="194"/>
      <c r="F17" s="194"/>
      <c r="G17" s="250"/>
      <c r="H17" s="89" t="s">
        <v>80</v>
      </c>
      <c r="I17" s="81" t="s">
        <v>80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4"/>
      <c r="B18" s="215"/>
      <c r="C18" s="262"/>
      <c r="D18" s="194" t="s">
        <v>69</v>
      </c>
      <c r="E18" s="194"/>
      <c r="F18" s="194"/>
      <c r="G18" s="250"/>
      <c r="H18" s="89" t="s">
        <v>80</v>
      </c>
      <c r="I18" s="81" t="s">
        <v>80</v>
      </c>
      <c r="J18" s="81"/>
      <c r="K18" s="81"/>
      <c r="L18" s="82"/>
      <c r="M18" s="82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4"/>
      <c r="B19" s="215"/>
      <c r="C19" s="263"/>
      <c r="D19" s="194" t="s">
        <v>70</v>
      </c>
      <c r="E19" s="194"/>
      <c r="F19" s="194"/>
      <c r="G19" s="250"/>
      <c r="H19" s="89"/>
      <c r="I19" s="81"/>
      <c r="J19" s="81" t="s">
        <v>80</v>
      </c>
      <c r="K19" s="81" t="s">
        <v>80</v>
      </c>
      <c r="L19" s="81" t="s">
        <v>80</v>
      </c>
      <c r="M19" s="82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4"/>
      <c r="B20" s="215"/>
      <c r="C20" s="193" t="s">
        <v>71</v>
      </c>
      <c r="D20" s="194"/>
      <c r="E20" s="194"/>
      <c r="F20" s="194"/>
      <c r="G20" s="250"/>
      <c r="H20" s="90"/>
      <c r="I20" s="81"/>
      <c r="J20" s="81"/>
      <c r="K20" s="81"/>
      <c r="L20" s="81"/>
      <c r="M20" s="82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4"/>
      <c r="B21" s="215"/>
      <c r="C21" s="78"/>
      <c r="D21" s="193" t="s">
        <v>72</v>
      </c>
      <c r="E21" s="194"/>
      <c r="F21" s="194"/>
      <c r="G21" s="250"/>
      <c r="H21" s="89" t="s">
        <v>80</v>
      </c>
      <c r="I21" s="81" t="s">
        <v>80</v>
      </c>
      <c r="J21" s="81"/>
      <c r="K21" s="81"/>
      <c r="L21" s="81"/>
      <c r="M21" s="82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4"/>
      <c r="B22" s="215"/>
      <c r="C22" s="193" t="s">
        <v>73</v>
      </c>
      <c r="D22" s="194"/>
      <c r="E22" s="194"/>
      <c r="F22" s="194"/>
      <c r="G22" s="194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4"/>
      <c r="B23" s="215"/>
      <c r="C23" s="78"/>
      <c r="D23" s="193" t="s">
        <v>74</v>
      </c>
      <c r="E23" s="194"/>
      <c r="F23" s="194"/>
      <c r="G23" s="194"/>
      <c r="H23" s="80" t="s">
        <v>80</v>
      </c>
      <c r="I23" s="81" t="s">
        <v>80</v>
      </c>
      <c r="J23" s="81" t="s">
        <v>80</v>
      </c>
      <c r="K23" s="81" t="s">
        <v>80</v>
      </c>
      <c r="L23" s="81" t="s">
        <v>80</v>
      </c>
      <c r="M23" s="81" t="s">
        <v>80</v>
      </c>
      <c r="N23" s="81" t="s">
        <v>80</v>
      </c>
      <c r="O23" s="81" t="s">
        <v>80</v>
      </c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4"/>
      <c r="B24" s="215"/>
      <c r="C24" s="193" t="s">
        <v>75</v>
      </c>
      <c r="D24" s="194"/>
      <c r="E24" s="194"/>
      <c r="F24" s="194"/>
      <c r="G24" s="194"/>
      <c r="H24" s="91"/>
      <c r="I24" s="23"/>
      <c r="J24" s="23"/>
      <c r="K24" s="23"/>
      <c r="L24" s="82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4"/>
      <c r="B25" s="215"/>
      <c r="C25" s="67"/>
      <c r="D25" s="193" t="s">
        <v>76</v>
      </c>
      <c r="E25" s="194"/>
      <c r="F25" s="194"/>
      <c r="G25" s="250"/>
      <c r="H25" s="80"/>
      <c r="I25" s="23"/>
      <c r="J25" s="23"/>
      <c r="K25" s="23"/>
      <c r="L25" s="82"/>
      <c r="M25" s="81" t="s">
        <v>80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4"/>
      <c r="B26" s="215"/>
      <c r="C26" s="193" t="s">
        <v>77</v>
      </c>
      <c r="D26" s="194"/>
      <c r="E26" s="194"/>
      <c r="F26" s="194"/>
      <c r="G26" s="250"/>
      <c r="H26" s="92"/>
      <c r="I26" s="30"/>
      <c r="J26" s="30"/>
      <c r="K26" s="30"/>
      <c r="L26" s="82"/>
      <c r="M26" s="84"/>
      <c r="N26" s="30"/>
      <c r="O26" s="30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4"/>
      <c r="B27" s="215"/>
      <c r="C27" s="67"/>
      <c r="D27" s="260" t="s">
        <v>78</v>
      </c>
      <c r="E27" s="260"/>
      <c r="F27" s="260"/>
      <c r="G27" s="260"/>
      <c r="H27" s="92"/>
      <c r="I27" s="30"/>
      <c r="J27" s="30"/>
      <c r="K27" s="30"/>
      <c r="L27" s="82"/>
      <c r="M27" s="84"/>
      <c r="N27" s="81" t="s">
        <v>80</v>
      </c>
      <c r="O27" s="30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 thickBot="1">
      <c r="A28" s="204"/>
      <c r="B28" s="251"/>
      <c r="C28" s="193" t="s">
        <v>79</v>
      </c>
      <c r="D28" s="194"/>
      <c r="E28" s="194"/>
      <c r="F28" s="194"/>
      <c r="G28" s="250"/>
      <c r="H28" s="92"/>
      <c r="I28" s="30"/>
      <c r="J28" s="30"/>
      <c r="K28" s="30"/>
      <c r="L28" s="82"/>
      <c r="M28" s="84"/>
      <c r="N28" s="84"/>
      <c r="O28" s="81" t="s">
        <v>80</v>
      </c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1"/>
    </row>
    <row r="29" spans="1:32" s="17" customFormat="1" ht="24" customHeight="1">
      <c r="A29" s="195" t="s">
        <v>54</v>
      </c>
      <c r="B29" s="197"/>
      <c r="C29" s="198"/>
      <c r="D29" s="198"/>
      <c r="E29" s="198"/>
      <c r="F29" s="199"/>
      <c r="G29" s="35" t="s">
        <v>36</v>
      </c>
      <c r="H29" s="36" t="s">
        <v>81</v>
      </c>
      <c r="I29" s="37" t="s">
        <v>81</v>
      </c>
      <c r="J29" s="37" t="s">
        <v>81</v>
      </c>
      <c r="K29" s="37" t="s">
        <v>81</v>
      </c>
      <c r="L29" s="37" t="s">
        <v>81</v>
      </c>
      <c r="M29" s="37" t="s">
        <v>81</v>
      </c>
      <c r="N29" s="37" t="s">
        <v>81</v>
      </c>
      <c r="O29" s="37" t="s">
        <v>82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196"/>
      <c r="B30" s="200"/>
      <c r="C30" s="201"/>
      <c r="D30" s="201"/>
      <c r="E30" s="201"/>
      <c r="F30" s="202"/>
      <c r="G30" s="39" t="s">
        <v>37</v>
      </c>
      <c r="H30" s="40" t="s">
        <v>261</v>
      </c>
      <c r="I30" s="40" t="s">
        <v>261</v>
      </c>
      <c r="J30" s="40" t="s">
        <v>261</v>
      </c>
      <c r="K30" s="40" t="s">
        <v>261</v>
      </c>
      <c r="L30" s="40" t="s">
        <v>261</v>
      </c>
      <c r="M30" s="40" t="s">
        <v>261</v>
      </c>
      <c r="N30" s="40" t="s">
        <v>261</v>
      </c>
      <c r="O30" s="40" t="s">
        <v>261</v>
      </c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2"/>
    </row>
    <row r="31" spans="1:32" s="17" customFormat="1" ht="27" customHeight="1">
      <c r="A31" s="196"/>
      <c r="B31" s="200"/>
      <c r="C31" s="201"/>
      <c r="D31" s="201"/>
      <c r="E31" s="201"/>
      <c r="F31" s="202"/>
      <c r="G31" s="39" t="s">
        <v>38</v>
      </c>
      <c r="H31" s="43">
        <v>43703</v>
      </c>
      <c r="I31" s="43">
        <v>43703</v>
      </c>
      <c r="J31" s="43">
        <v>43703</v>
      </c>
      <c r="K31" s="43">
        <v>43703</v>
      </c>
      <c r="L31" s="43">
        <v>43703</v>
      </c>
      <c r="M31" s="43">
        <v>43703</v>
      </c>
      <c r="N31" s="43">
        <v>43703</v>
      </c>
      <c r="O31" s="43">
        <v>43703</v>
      </c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196"/>
      <c r="B32" s="200"/>
      <c r="C32" s="201"/>
      <c r="D32" s="201"/>
      <c r="E32" s="201"/>
      <c r="F32" s="202"/>
      <c r="G32" s="46" t="s">
        <v>39</v>
      </c>
      <c r="H32" s="40" t="s">
        <v>262</v>
      </c>
      <c r="I32" s="40" t="s">
        <v>262</v>
      </c>
      <c r="J32" s="40" t="s">
        <v>262</v>
      </c>
      <c r="K32" s="40" t="s">
        <v>262</v>
      </c>
      <c r="L32" s="40" t="s">
        <v>262</v>
      </c>
      <c r="M32" s="40" t="s">
        <v>262</v>
      </c>
      <c r="N32" s="40" t="s">
        <v>262</v>
      </c>
      <c r="O32" s="40" t="s">
        <v>262</v>
      </c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4.75" customHeight="1">
      <c r="A33" s="235" t="s">
        <v>55</v>
      </c>
      <c r="B33" s="237" t="s">
        <v>40</v>
      </c>
      <c r="C33" s="237"/>
      <c r="D33" s="237"/>
      <c r="E33" s="237"/>
      <c r="F33" s="238" t="str">
        <f>GetBugSheetName()</f>
        <v>Summary_</v>
      </c>
      <c r="G33" s="239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236"/>
      <c r="B34" s="223" t="s">
        <v>41</v>
      </c>
      <c r="C34" s="224"/>
      <c r="D34" s="224"/>
      <c r="E34" s="225"/>
      <c r="F34" s="223"/>
      <c r="G34" s="240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1">IF(S33="","",(SUM(LEN(S33)-LEN(SUBSTITUTE(S33,",","")))/LEN(",")) + 1 )</f>
        <v/>
      </c>
      <c r="T34" s="55" t="str">
        <f t="shared" si="1"/>
        <v/>
      </c>
      <c r="U34" s="55" t="str">
        <f t="shared" si="1"/>
        <v/>
      </c>
      <c r="V34" s="55" t="str">
        <f t="shared" si="1"/>
        <v/>
      </c>
      <c r="W34" s="55" t="str">
        <f t="shared" si="1"/>
        <v/>
      </c>
      <c r="X34" s="55" t="str">
        <f t="shared" si="1"/>
        <v/>
      </c>
      <c r="Y34" s="55" t="str">
        <f t="shared" si="1"/>
        <v/>
      </c>
      <c r="Z34" s="55" t="str">
        <f t="shared" si="1"/>
        <v/>
      </c>
      <c r="AA34" s="55" t="str">
        <f t="shared" si="1"/>
        <v/>
      </c>
      <c r="AB34" s="55" t="str">
        <f t="shared" si="1"/>
        <v/>
      </c>
      <c r="AC34" s="55" t="str">
        <f t="shared" si="1"/>
        <v/>
      </c>
      <c r="AD34" s="55" t="str">
        <f t="shared" si="1"/>
        <v/>
      </c>
      <c r="AE34" s="55" t="str">
        <f t="shared" si="1"/>
        <v/>
      </c>
      <c r="AF34" s="56" t="str">
        <f t="shared" si="1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P29:AF29 H30:AF33" name="Range3_1_1"/>
    <protectedRange sqref="H4:AF4 P5:AF28" name="Range2_1_1"/>
    <protectedRange sqref="E5:G7 C5:D5 C6:C7 B5:B14 C8:G14" name="Range2_1_2"/>
    <protectedRange sqref="C15:G15 B15:B28" name="Range2_1_5"/>
    <protectedRange sqref="D16:G16 C16:C19" name="Range2_1_8_3"/>
    <protectedRange sqref="D17:G17" name="Range2_1_9_2"/>
    <protectedRange sqref="D18:G19" name="Range2_1_10_2"/>
    <protectedRange sqref="C20:G23" name="Range2_1_11_3"/>
    <protectedRange sqref="C24:G27" name="Range2_1_12_2"/>
    <protectedRange sqref="C28:G28" name="Range2_1_8_1_2"/>
    <protectedRange sqref="H29:O29" name="Range3_1_1_1"/>
    <protectedRange sqref="H8:I14 M6:N7 H22:O22 J8:M8 O12:O13 H15:M16 J10:J14 N8:N11 L9 K14:M14 M24 N24:N26 J17:M17 I24:K28 O24:O27 N15:O21" name="Range2_1_1_1"/>
    <protectedRange sqref="H5" name="Range2_1_2_1"/>
    <protectedRange sqref="H7 I5" name="Range2_1_3_2"/>
    <protectedRange sqref="I6 J5" name="Range2_1_4_1"/>
    <protectedRange sqref="J6:J7 K5" name="Range2_1_5_1"/>
    <protectedRange sqref="K6:K7 L5" name="Range2_1_6"/>
    <protectedRange sqref="I7 H6 M5:N5 L12:M13 L6:L7 O28 J9 K10:K13 L19:L21 H23:O23 N13 N14:O14 H17:I17 H25:H28 M25:M28 N27:N28 H18:K21" name="Range2_1_7"/>
    <protectedRange sqref="O5" name="Range2_1_1_2"/>
    <protectedRange sqref="B1:O1 P2 T1 B2:E2" name="Range1_1_1"/>
    <protectedRange sqref="P2 AC2:AF2" name="Range1_1_1_1"/>
    <protectedRange sqref="AC1:AF1" name="Range1_1_1_2"/>
  </protectedRanges>
  <mergeCells count="53">
    <mergeCell ref="B16:B28"/>
    <mergeCell ref="C17:C19"/>
    <mergeCell ref="D17:G17"/>
    <mergeCell ref="D18:G18"/>
    <mergeCell ref="D19:G19"/>
    <mergeCell ref="C20:G20"/>
    <mergeCell ref="D21:G21"/>
    <mergeCell ref="C22:G22"/>
    <mergeCell ref="D23:G23"/>
    <mergeCell ref="C24:G24"/>
    <mergeCell ref="A15:A28"/>
    <mergeCell ref="B15:G15"/>
    <mergeCell ref="C16:G16"/>
    <mergeCell ref="B6:B14"/>
    <mergeCell ref="C7:G7"/>
    <mergeCell ref="C8:G8"/>
    <mergeCell ref="C9:C11"/>
    <mergeCell ref="D9:G9"/>
    <mergeCell ref="D11:G11"/>
    <mergeCell ref="C28:G28"/>
    <mergeCell ref="C13:G13"/>
    <mergeCell ref="C14:G14"/>
    <mergeCell ref="D25:G25"/>
    <mergeCell ref="C26:G26"/>
    <mergeCell ref="C12:G12"/>
    <mergeCell ref="D27:G27"/>
    <mergeCell ref="P2:Z2"/>
    <mergeCell ref="AA2:AB2"/>
    <mergeCell ref="D10:G10"/>
    <mergeCell ref="AA1:AB1"/>
    <mergeCell ref="AC1:AF1"/>
    <mergeCell ref="AC2:AF2"/>
    <mergeCell ref="P1:S1"/>
    <mergeCell ref="T1:Z1"/>
    <mergeCell ref="A4:A14"/>
    <mergeCell ref="B4:G4"/>
    <mergeCell ref="B5:G5"/>
    <mergeCell ref="C6:G6"/>
    <mergeCell ref="B1:E1"/>
    <mergeCell ref="F1:O1"/>
    <mergeCell ref="B2:E2"/>
    <mergeCell ref="I2:O2"/>
    <mergeCell ref="F2:H2"/>
    <mergeCell ref="A29:A32"/>
    <mergeCell ref="B29:F29"/>
    <mergeCell ref="B30:F30"/>
    <mergeCell ref="B31:F31"/>
    <mergeCell ref="A33:A34"/>
    <mergeCell ref="B33:E33"/>
    <mergeCell ref="F33:G33"/>
    <mergeCell ref="B34:E34"/>
    <mergeCell ref="F34:G34"/>
    <mergeCell ref="B32:F32"/>
  </mergeCells>
  <phoneticPr fontId="3"/>
  <conditionalFormatting sqref="H3:AF34">
    <cfRule type="expression" dxfId="33" priority="3" stopIfTrue="1">
      <formula>H$32="NA"</formula>
    </cfRule>
    <cfRule type="expression" dxfId="32" priority="4" stopIfTrue="1">
      <formula>H$32="NG"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8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44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D24" sqref="D24:G2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84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247</v>
      </c>
      <c r="AB2" s="233"/>
      <c r="AC2" s="220" t="s">
        <v>213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IF(COUNTA(H4:H38)&gt;0,1,"")</f>
        <v>1</v>
      </c>
      <c r="I3" s="12">
        <f t="shared" ref="I3:AF3" si="0">IF(COUNTA(I4:I38)&gt;0,IF(H3&gt;0,H3+1,""),"")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07" t="s">
        <v>249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85</v>
      </c>
      <c r="C5" s="212"/>
      <c r="D5" s="212"/>
      <c r="E5" s="212"/>
      <c r="F5" s="212"/>
      <c r="G5" s="241"/>
      <c r="H5" s="23" t="s">
        <v>80</v>
      </c>
      <c r="I5" s="23" t="s">
        <v>80</v>
      </c>
      <c r="J5" s="23" t="s">
        <v>80</v>
      </c>
      <c r="K5" s="23" t="s">
        <v>80</v>
      </c>
      <c r="L5" s="23" t="s">
        <v>80</v>
      </c>
      <c r="M5" s="23" t="s">
        <v>80</v>
      </c>
      <c r="N5" s="23" t="s">
        <v>80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54"/>
      <c r="C6" s="245" t="s">
        <v>57</v>
      </c>
      <c r="D6" s="245"/>
      <c r="E6" s="245"/>
      <c r="F6" s="245"/>
      <c r="G6" s="265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5"/>
      <c r="C7" s="254"/>
      <c r="D7" s="266" t="s">
        <v>72</v>
      </c>
      <c r="E7" s="267"/>
      <c r="F7" s="267"/>
      <c r="G7" s="268"/>
      <c r="H7" s="22" t="s">
        <v>80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215"/>
      <c r="C8" s="215"/>
      <c r="D8" s="269" t="s">
        <v>261</v>
      </c>
      <c r="E8" s="270"/>
      <c r="F8" s="270"/>
      <c r="G8" s="271"/>
      <c r="H8" s="22"/>
      <c r="I8" s="23" t="s">
        <v>80</v>
      </c>
      <c r="J8" s="23" t="s">
        <v>80</v>
      </c>
      <c r="K8" s="23"/>
      <c r="L8" s="23"/>
      <c r="M8" s="23" t="s">
        <v>80</v>
      </c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15"/>
      <c r="C9" s="255"/>
      <c r="D9" s="330" t="s">
        <v>263</v>
      </c>
      <c r="E9" s="274"/>
      <c r="F9" s="274"/>
      <c r="G9" s="275"/>
      <c r="H9" s="88"/>
      <c r="I9" s="23"/>
      <c r="J9" s="23"/>
      <c r="K9" s="23" t="s">
        <v>80</v>
      </c>
      <c r="L9" s="23" t="s">
        <v>80</v>
      </c>
      <c r="M9" s="23"/>
      <c r="N9" s="23" t="s">
        <v>80</v>
      </c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15"/>
      <c r="C10" s="211" t="s">
        <v>58</v>
      </c>
      <c r="D10" s="214"/>
      <c r="E10" s="214"/>
      <c r="F10" s="214"/>
      <c r="G10" s="280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15"/>
      <c r="C11" s="215"/>
      <c r="D11" s="266" t="s">
        <v>72</v>
      </c>
      <c r="E11" s="272"/>
      <c r="F11" s="272"/>
      <c r="G11" s="273"/>
      <c r="H11" s="22" t="s">
        <v>80</v>
      </c>
      <c r="I11" s="23" t="s">
        <v>80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0"/>
      <c r="B12" s="215"/>
      <c r="C12" s="215"/>
      <c r="D12" s="274" t="s">
        <v>261</v>
      </c>
      <c r="E12" s="274"/>
      <c r="F12" s="274"/>
      <c r="G12" s="275"/>
      <c r="H12" s="88"/>
      <c r="I12" s="23"/>
      <c r="J12" s="23" t="s">
        <v>80</v>
      </c>
      <c r="K12" s="23" t="s">
        <v>80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0"/>
      <c r="B13" s="215"/>
      <c r="C13" s="215"/>
      <c r="D13" s="333" t="s">
        <v>263</v>
      </c>
      <c r="E13" s="276"/>
      <c r="F13" s="276"/>
      <c r="G13" s="277"/>
      <c r="H13" s="22"/>
      <c r="I13" s="23"/>
      <c r="J13" s="23"/>
      <c r="K13" s="23"/>
      <c r="L13" s="23" t="s">
        <v>80</v>
      </c>
      <c r="M13" s="23" t="s">
        <v>80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10"/>
      <c r="B14" s="215"/>
      <c r="C14" s="278" t="s">
        <v>86</v>
      </c>
      <c r="D14" s="267"/>
      <c r="E14" s="267"/>
      <c r="F14" s="267"/>
      <c r="G14" s="268"/>
      <c r="H14" s="22" t="s">
        <v>80</v>
      </c>
      <c r="I14" s="23" t="s">
        <v>80</v>
      </c>
      <c r="J14" s="23" t="s">
        <v>80</v>
      </c>
      <c r="K14" s="23" t="s">
        <v>80</v>
      </c>
      <c r="L14" s="23" t="s">
        <v>80</v>
      </c>
      <c r="M14" s="23" t="s">
        <v>80</v>
      </c>
      <c r="N14" s="23" t="s">
        <v>80</v>
      </c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0"/>
      <c r="B15" s="215"/>
      <c r="C15" s="278" t="s">
        <v>87</v>
      </c>
      <c r="D15" s="267"/>
      <c r="E15" s="267"/>
      <c r="F15" s="267"/>
      <c r="G15" s="268"/>
      <c r="H15" s="22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 thickBot="1">
      <c r="A16" s="210"/>
      <c r="B16" s="251"/>
      <c r="C16" s="93"/>
      <c r="D16" s="279" t="s">
        <v>65</v>
      </c>
      <c r="E16" s="279"/>
      <c r="F16" s="279"/>
      <c r="G16" s="269"/>
      <c r="H16" s="22"/>
      <c r="I16" s="23"/>
      <c r="J16" s="23"/>
      <c r="K16" s="23"/>
      <c r="L16" s="23"/>
      <c r="M16" s="23"/>
      <c r="N16" s="23" t="s">
        <v>80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3" t="s">
        <v>46</v>
      </c>
      <c r="B17" s="206" t="s">
        <v>66</v>
      </c>
      <c r="C17" s="207"/>
      <c r="D17" s="207"/>
      <c r="E17" s="207"/>
      <c r="F17" s="207"/>
      <c r="G17" s="264"/>
      <c r="H17" s="25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7"/>
    </row>
    <row r="18" spans="1:32" s="17" customFormat="1" ht="13.5" customHeight="1">
      <c r="A18" s="204"/>
      <c r="B18" s="254"/>
      <c r="C18" s="193" t="s">
        <v>88</v>
      </c>
      <c r="D18" s="194"/>
      <c r="E18" s="194"/>
      <c r="F18" s="194"/>
      <c r="G18" s="250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4"/>
      <c r="B19" s="215"/>
      <c r="C19" s="282"/>
      <c r="D19" s="260" t="s">
        <v>89</v>
      </c>
      <c r="E19" s="260"/>
      <c r="F19" s="260"/>
      <c r="G19" s="285"/>
      <c r="H19" s="22" t="s">
        <v>80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4"/>
      <c r="B20" s="215"/>
      <c r="C20" s="283"/>
      <c r="D20" s="260" t="s">
        <v>90</v>
      </c>
      <c r="E20" s="260"/>
      <c r="F20" s="260"/>
      <c r="G20" s="285"/>
      <c r="H20" s="22"/>
      <c r="I20" s="23" t="s">
        <v>80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4"/>
      <c r="B21" s="215"/>
      <c r="C21" s="284"/>
      <c r="D21" s="260" t="s">
        <v>91</v>
      </c>
      <c r="E21" s="260"/>
      <c r="F21" s="260"/>
      <c r="G21" s="285"/>
      <c r="H21" s="22"/>
      <c r="I21" s="23"/>
      <c r="J21" s="23" t="s">
        <v>80</v>
      </c>
      <c r="K21" s="23" t="s">
        <v>80</v>
      </c>
      <c r="L21" s="23"/>
      <c r="M21" s="23" t="s">
        <v>80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4"/>
      <c r="B22" s="215"/>
      <c r="C22" s="193" t="s">
        <v>92</v>
      </c>
      <c r="D22" s="194"/>
      <c r="E22" s="194"/>
      <c r="F22" s="194"/>
      <c r="G22" s="250"/>
      <c r="H22" s="29"/>
      <c r="I22" s="30"/>
      <c r="J22" s="30"/>
      <c r="K22" s="30"/>
      <c r="L22" s="30" t="s">
        <v>80</v>
      </c>
      <c r="M22" s="30"/>
      <c r="N22" s="3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4"/>
      <c r="B23" s="215"/>
      <c r="C23" s="260" t="s">
        <v>93</v>
      </c>
      <c r="D23" s="260"/>
      <c r="E23" s="260"/>
      <c r="F23" s="260"/>
      <c r="G23" s="285"/>
      <c r="H23" s="29"/>
      <c r="I23" s="30"/>
      <c r="J23" s="30"/>
      <c r="K23" s="30"/>
      <c r="L23" s="30"/>
      <c r="M23" s="30"/>
      <c r="N23" s="3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4"/>
      <c r="B24" s="215"/>
      <c r="C24" s="261"/>
      <c r="D24" s="193" t="s">
        <v>94</v>
      </c>
      <c r="E24" s="194"/>
      <c r="F24" s="194"/>
      <c r="G24" s="250"/>
      <c r="H24" s="29"/>
      <c r="I24" s="30"/>
      <c r="J24" s="30"/>
      <c r="K24" s="30"/>
      <c r="L24" s="30" t="s">
        <v>80</v>
      </c>
      <c r="M24" s="30"/>
      <c r="N24" s="3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4"/>
      <c r="B25" s="215"/>
      <c r="C25" s="262"/>
      <c r="D25" s="193" t="s">
        <v>264</v>
      </c>
      <c r="E25" s="194"/>
      <c r="F25" s="194"/>
      <c r="G25" s="250"/>
      <c r="H25" s="29"/>
      <c r="I25" s="30"/>
      <c r="J25" s="30"/>
      <c r="K25" s="30"/>
      <c r="L25" s="30" t="s">
        <v>80</v>
      </c>
      <c r="M25" s="30"/>
      <c r="N25" s="30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4"/>
      <c r="B26" s="215"/>
      <c r="C26" s="262"/>
      <c r="D26" s="193" t="s">
        <v>265</v>
      </c>
      <c r="E26" s="194"/>
      <c r="F26" s="194"/>
      <c r="G26" s="250"/>
      <c r="H26" s="29"/>
      <c r="I26" s="30"/>
      <c r="J26" s="30"/>
      <c r="K26" s="30"/>
      <c r="L26" s="30" t="s">
        <v>80</v>
      </c>
      <c r="M26" s="30"/>
      <c r="N26" s="30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4"/>
      <c r="B27" s="215"/>
      <c r="C27" s="262"/>
      <c r="D27" s="193" t="s">
        <v>266</v>
      </c>
      <c r="E27" s="194"/>
      <c r="F27" s="194"/>
      <c r="G27" s="250"/>
      <c r="H27" s="29"/>
      <c r="I27" s="30"/>
      <c r="J27" s="30"/>
      <c r="K27" s="30"/>
      <c r="L27" s="30" t="s">
        <v>80</v>
      </c>
      <c r="M27" s="30"/>
      <c r="N27" s="30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204"/>
      <c r="B28" s="215"/>
      <c r="C28" s="262"/>
      <c r="D28" s="193" t="s">
        <v>267</v>
      </c>
      <c r="E28" s="194"/>
      <c r="F28" s="194"/>
      <c r="G28" s="250"/>
      <c r="H28" s="29"/>
      <c r="I28" s="30"/>
      <c r="J28" s="30"/>
      <c r="K28" s="30"/>
      <c r="L28" s="30" t="s">
        <v>80</v>
      </c>
      <c r="M28" s="30"/>
      <c r="N28" s="30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204"/>
      <c r="B29" s="215"/>
      <c r="C29" s="262"/>
      <c r="D29" s="193" t="s">
        <v>268</v>
      </c>
      <c r="E29" s="194"/>
      <c r="F29" s="194"/>
      <c r="G29" s="250"/>
      <c r="H29" s="29"/>
      <c r="I29" s="30"/>
      <c r="J29" s="30"/>
      <c r="K29" s="30"/>
      <c r="L29" s="30" t="s">
        <v>80</v>
      </c>
      <c r="M29" s="30"/>
      <c r="N29" s="30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204"/>
      <c r="B30" s="215"/>
      <c r="C30" s="262"/>
      <c r="D30" s="193" t="s">
        <v>95</v>
      </c>
      <c r="E30" s="194"/>
      <c r="F30" s="194"/>
      <c r="G30" s="250"/>
      <c r="H30" s="29"/>
      <c r="I30" s="30"/>
      <c r="J30" s="30"/>
      <c r="K30" s="30"/>
      <c r="L30" s="30" t="s">
        <v>80</v>
      </c>
      <c r="M30" s="30"/>
      <c r="N30" s="30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204"/>
      <c r="B31" s="215"/>
      <c r="C31" s="262"/>
      <c r="D31" s="193" t="s">
        <v>269</v>
      </c>
      <c r="E31" s="194"/>
      <c r="F31" s="194"/>
      <c r="G31" s="250"/>
      <c r="H31" s="29"/>
      <c r="I31" s="30"/>
      <c r="J31" s="30"/>
      <c r="K31" s="30"/>
      <c r="L31" s="30" t="s">
        <v>80</v>
      </c>
      <c r="M31" s="30"/>
      <c r="N31" s="30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204"/>
      <c r="B32" s="215"/>
      <c r="C32" s="262"/>
      <c r="D32" s="193" t="s">
        <v>270</v>
      </c>
      <c r="E32" s="194"/>
      <c r="F32" s="194"/>
      <c r="G32" s="250"/>
      <c r="H32" s="29"/>
      <c r="I32" s="30"/>
      <c r="J32" s="30"/>
      <c r="K32" s="30"/>
      <c r="L32" s="30" t="s">
        <v>80</v>
      </c>
      <c r="M32" s="30"/>
      <c r="N32" s="30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204"/>
      <c r="B33" s="215"/>
      <c r="C33" s="262"/>
      <c r="D33" s="193" t="s">
        <v>271</v>
      </c>
      <c r="E33" s="194"/>
      <c r="F33" s="194"/>
      <c r="G33" s="250"/>
      <c r="H33" s="29"/>
      <c r="I33" s="30"/>
      <c r="J33" s="30"/>
      <c r="K33" s="30"/>
      <c r="L33" s="30" t="s">
        <v>80</v>
      </c>
      <c r="M33" s="30"/>
      <c r="N33" s="30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204"/>
      <c r="B34" s="215"/>
      <c r="C34" s="262"/>
      <c r="D34" s="191" t="s">
        <v>96</v>
      </c>
      <c r="E34" s="192"/>
      <c r="F34" s="192"/>
      <c r="G34" s="288"/>
      <c r="H34" s="29"/>
      <c r="I34" s="30"/>
      <c r="J34" s="30"/>
      <c r="K34" s="30"/>
      <c r="L34" s="30" t="s">
        <v>80</v>
      </c>
      <c r="M34" s="30"/>
      <c r="N34" s="30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4"/>
      <c r="B35" s="215"/>
      <c r="C35" s="260" t="s">
        <v>97</v>
      </c>
      <c r="D35" s="260"/>
      <c r="E35" s="260"/>
      <c r="F35" s="260"/>
      <c r="G35" s="285"/>
      <c r="H35" s="98"/>
      <c r="I35" s="30"/>
      <c r="J35" s="30"/>
      <c r="K35" s="30"/>
      <c r="L35" s="30"/>
      <c r="M35" s="30"/>
      <c r="N35" s="30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4"/>
      <c r="B36" s="215"/>
      <c r="C36" s="261"/>
      <c r="D36" s="193" t="s">
        <v>98</v>
      </c>
      <c r="E36" s="194"/>
      <c r="F36" s="194"/>
      <c r="G36" s="287"/>
      <c r="H36" s="98"/>
      <c r="I36" s="30"/>
      <c r="J36" s="30"/>
      <c r="K36" s="30"/>
      <c r="L36" s="30" t="s">
        <v>80</v>
      </c>
      <c r="M36" s="30"/>
      <c r="N36" s="30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 thickBot="1">
      <c r="A37" s="204"/>
      <c r="B37" s="255"/>
      <c r="C37" s="281"/>
      <c r="D37" s="193" t="s">
        <v>99</v>
      </c>
      <c r="E37" s="194"/>
      <c r="F37" s="194"/>
      <c r="G37" s="287"/>
      <c r="H37" s="29"/>
      <c r="I37" s="30"/>
      <c r="J37" s="30"/>
      <c r="K37" s="30"/>
      <c r="L37" s="30"/>
      <c r="M37" s="30"/>
      <c r="N37" s="30" t="s">
        <v>80</v>
      </c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24" customHeight="1">
      <c r="A38" s="195" t="s">
        <v>47</v>
      </c>
      <c r="B38" s="286"/>
      <c r="C38" s="198"/>
      <c r="D38" s="198"/>
      <c r="E38" s="198"/>
      <c r="F38" s="199"/>
      <c r="G38" s="35" t="s">
        <v>36</v>
      </c>
      <c r="H38" s="36" t="s">
        <v>81</v>
      </c>
      <c r="I38" s="37" t="s">
        <v>81</v>
      </c>
      <c r="J38" s="37" t="s">
        <v>81</v>
      </c>
      <c r="K38" s="37" t="s">
        <v>81</v>
      </c>
      <c r="L38" s="37" t="s">
        <v>81</v>
      </c>
      <c r="M38" s="37" t="s">
        <v>81</v>
      </c>
      <c r="N38" s="37" t="s">
        <v>82</v>
      </c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8"/>
    </row>
    <row r="39" spans="1:32" s="17" customFormat="1" ht="27" customHeight="1">
      <c r="A39" s="196"/>
      <c r="B39" s="200"/>
      <c r="C39" s="201"/>
      <c r="D39" s="201"/>
      <c r="E39" s="201"/>
      <c r="F39" s="202"/>
      <c r="G39" s="39" t="s">
        <v>37</v>
      </c>
      <c r="H39" s="40" t="s">
        <v>261</v>
      </c>
      <c r="I39" s="40" t="s">
        <v>261</v>
      </c>
      <c r="J39" s="40" t="s">
        <v>261</v>
      </c>
      <c r="K39" s="40" t="s">
        <v>261</v>
      </c>
      <c r="L39" s="40" t="s">
        <v>261</v>
      </c>
      <c r="M39" s="40" t="s">
        <v>261</v>
      </c>
      <c r="N39" s="40" t="s">
        <v>261</v>
      </c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2"/>
    </row>
    <row r="40" spans="1:32" s="17" customFormat="1" ht="27" customHeight="1">
      <c r="A40" s="196"/>
      <c r="B40" s="200"/>
      <c r="C40" s="201"/>
      <c r="D40" s="201"/>
      <c r="E40" s="201"/>
      <c r="F40" s="202"/>
      <c r="G40" s="39" t="s">
        <v>38</v>
      </c>
      <c r="H40" s="43">
        <v>43703</v>
      </c>
      <c r="I40" s="43">
        <v>43703</v>
      </c>
      <c r="J40" s="43">
        <v>43703</v>
      </c>
      <c r="K40" s="43">
        <v>43703</v>
      </c>
      <c r="L40" s="43">
        <v>43703</v>
      </c>
      <c r="M40" s="43">
        <v>43703</v>
      </c>
      <c r="N40" s="43">
        <v>43703</v>
      </c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5"/>
    </row>
    <row r="41" spans="1:32" s="17" customFormat="1" ht="24.75" customHeight="1">
      <c r="A41" s="196"/>
      <c r="B41" s="200" t="s">
        <v>83</v>
      </c>
      <c r="C41" s="201"/>
      <c r="D41" s="201"/>
      <c r="E41" s="201"/>
      <c r="F41" s="202"/>
      <c r="G41" s="46" t="s">
        <v>1</v>
      </c>
      <c r="H41" s="40" t="s">
        <v>262</v>
      </c>
      <c r="I41" s="40" t="s">
        <v>262</v>
      </c>
      <c r="J41" s="40" t="s">
        <v>262</v>
      </c>
      <c r="K41" s="40" t="s">
        <v>262</v>
      </c>
      <c r="L41" s="40" t="s">
        <v>262</v>
      </c>
      <c r="M41" s="40" t="s">
        <v>262</v>
      </c>
      <c r="N41" s="40" t="s">
        <v>262</v>
      </c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2"/>
    </row>
    <row r="42" spans="1:32" s="17" customFormat="1" ht="24.75" customHeight="1">
      <c r="A42" s="235" t="s">
        <v>48</v>
      </c>
      <c r="B42" s="237" t="s">
        <v>40</v>
      </c>
      <c r="C42" s="237"/>
      <c r="D42" s="237"/>
      <c r="E42" s="237"/>
      <c r="F42" s="238" t="str">
        <f>GetBugSheetName()</f>
        <v>Summary_</v>
      </c>
      <c r="G42" s="239"/>
      <c r="H42" s="60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4"/>
    </row>
    <row r="43" spans="1:32" s="17" customFormat="1" ht="36" customHeight="1" thickBot="1">
      <c r="A43" s="236"/>
      <c r="B43" s="223" t="s">
        <v>30</v>
      </c>
      <c r="C43" s="224"/>
      <c r="D43" s="224"/>
      <c r="E43" s="225"/>
      <c r="F43" s="223"/>
      <c r="G43" s="240"/>
      <c r="H43" s="61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 t="str">
        <f t="shared" ref="S43:AF43" si="1">IF(S42="","",(SUM(LEN(S42)-LEN(SUBSTITUTE(S42,",","")))/LEN(",")) + 1 )</f>
        <v/>
      </c>
      <c r="T43" s="55" t="str">
        <f t="shared" si="1"/>
        <v/>
      </c>
      <c r="U43" s="55" t="str">
        <f t="shared" si="1"/>
        <v/>
      </c>
      <c r="V43" s="55" t="str">
        <f t="shared" si="1"/>
        <v/>
      </c>
      <c r="W43" s="55" t="str">
        <f t="shared" si="1"/>
        <v/>
      </c>
      <c r="X43" s="55" t="str">
        <f t="shared" si="1"/>
        <v/>
      </c>
      <c r="Y43" s="55" t="str">
        <f t="shared" si="1"/>
        <v/>
      </c>
      <c r="Z43" s="55" t="str">
        <f t="shared" si="1"/>
        <v/>
      </c>
      <c r="AA43" s="55" t="str">
        <f t="shared" si="1"/>
        <v/>
      </c>
      <c r="AB43" s="55" t="str">
        <f t="shared" si="1"/>
        <v/>
      </c>
      <c r="AC43" s="55" t="str">
        <f t="shared" si="1"/>
        <v/>
      </c>
      <c r="AD43" s="55" t="str">
        <f t="shared" si="1"/>
        <v/>
      </c>
      <c r="AE43" s="55" t="str">
        <f t="shared" si="1"/>
        <v/>
      </c>
      <c r="AF43" s="56" t="str">
        <f t="shared" si="1"/>
        <v/>
      </c>
    </row>
    <row r="44" spans="1:32" s="17" customFormat="1">
      <c r="H44" s="47"/>
      <c r="I44" s="47"/>
      <c r="J44" s="47"/>
      <c r="K44" s="47"/>
      <c r="L44" s="47"/>
      <c r="M44" s="47"/>
      <c r="N44" s="48"/>
      <c r="O44" s="49"/>
      <c r="P44" s="47"/>
      <c r="Q44" s="47"/>
      <c r="R44" s="47"/>
      <c r="S44" s="47"/>
      <c r="T44" s="47"/>
      <c r="U44" s="47"/>
      <c r="V44" s="47"/>
    </row>
  </sheetData>
  <sheetProtection insertRows="0"/>
  <protectedRanges>
    <protectedRange sqref="O38:AF38 H39:AF42" name="Range3_1_1"/>
    <protectedRange sqref="H4:AF4 O5:AF37" name="Range2_1_1"/>
    <protectedRange sqref="D5:G6 C13 D10:G10 B5:C12 C16 B13:B16" name="Range2_1_5"/>
    <protectedRange sqref="B4:G4" name="Range2_1_2_2"/>
    <protectedRange sqref="D8:D9 D12:D13 D11:E11 F11:G13 D7:E7 F7:G9" name="Range2_1_3_1"/>
    <protectedRange sqref="C14:G15" name="Range2_1_4_1"/>
    <protectedRange sqref="C18:G21" name="Range2_1_9_2"/>
    <protectedRange sqref="E22:G23 E35:G35 C22:C37" name="Range2_1_10_2"/>
    <protectedRange sqref="D24:G34 D36:G37" name="Range2_1_30_2"/>
    <protectedRange sqref="H38:N38" name="Range3_1_1_1"/>
    <protectedRange sqref="H5:N37" name="Range2_1_1_1"/>
    <protectedRange sqref="B1:O1 P2 T1 B2:E2" name="Range1_1_1"/>
    <protectedRange sqref="P2 AC2:AF2" name="Range1_1_1_1"/>
    <protectedRange sqref="AC1:AF1" name="Range1_1_1_2"/>
  </protectedRanges>
  <mergeCells count="65">
    <mergeCell ref="D33:G33"/>
    <mergeCell ref="D34:G34"/>
    <mergeCell ref="C35:G35"/>
    <mergeCell ref="D36:G36"/>
    <mergeCell ref="C11:C13"/>
    <mergeCell ref="D27:G27"/>
    <mergeCell ref="D28:G28"/>
    <mergeCell ref="D29:G29"/>
    <mergeCell ref="D30:G30"/>
    <mergeCell ref="D20:G20"/>
    <mergeCell ref="D21:G21"/>
    <mergeCell ref="A38:A41"/>
    <mergeCell ref="B38:F38"/>
    <mergeCell ref="B39:F39"/>
    <mergeCell ref="B40:F40"/>
    <mergeCell ref="B41:F41"/>
    <mergeCell ref="A42:A43"/>
    <mergeCell ref="B42:E42"/>
    <mergeCell ref="F42:G42"/>
    <mergeCell ref="B43:E43"/>
    <mergeCell ref="F43:G43"/>
    <mergeCell ref="A17:A37"/>
    <mergeCell ref="B17:G17"/>
    <mergeCell ref="C18:G18"/>
    <mergeCell ref="B18:B37"/>
    <mergeCell ref="C36:C37"/>
    <mergeCell ref="D32:G32"/>
    <mergeCell ref="C19:C21"/>
    <mergeCell ref="D19:G19"/>
    <mergeCell ref="C22:G22"/>
    <mergeCell ref="C23:G23"/>
    <mergeCell ref="C24:C34"/>
    <mergeCell ref="D24:G24"/>
    <mergeCell ref="D25:G25"/>
    <mergeCell ref="D26:G26"/>
    <mergeCell ref="D37:G37"/>
    <mergeCell ref="D31:G31"/>
    <mergeCell ref="A4:A16"/>
    <mergeCell ref="B4:G4"/>
    <mergeCell ref="B5:G5"/>
    <mergeCell ref="C6:G6"/>
    <mergeCell ref="D7:G7"/>
    <mergeCell ref="D8:G8"/>
    <mergeCell ref="D11:G11"/>
    <mergeCell ref="D12:G12"/>
    <mergeCell ref="D13:G13"/>
    <mergeCell ref="C14:G14"/>
    <mergeCell ref="C15:G15"/>
    <mergeCell ref="D16:G16"/>
    <mergeCell ref="B6:B16"/>
    <mergeCell ref="C7:C9"/>
    <mergeCell ref="D9:G9"/>
    <mergeCell ref="C10:G1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conditionalFormatting sqref="H3:AF43">
    <cfRule type="expression" dxfId="31" priority="5" stopIfTrue="1">
      <formula>H$41="NA"</formula>
    </cfRule>
    <cfRule type="expression" dxfId="30" priority="6" stopIfTrue="1">
      <formula>H$41="NG"</formula>
    </cfRule>
  </conditionalFormatting>
  <dataValidations count="10">
    <dataValidation allowBlank="1" showInputMessage="1" showErrorMessage="1" promptTitle="Condition Type" prompt="N : Normal _x000a_A : Abnormal _x000a_B : Boundary" sqref="G38"/>
    <dataValidation allowBlank="1" showInputMessage="1" showErrorMessage="1" promptTitle="Enter" prompt="Name of the person who performed the test" sqref="G39"/>
    <dataValidation allowBlank="1" showInputMessage="1" showErrorMessage="1" promptTitle="Testing Date" prompt="Date on which test was performed in yyyy/mm/dd format" sqref="G4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1"/>
    <dataValidation allowBlank="1" showInputMessage="1" showErrorMessage="1" promptTitle="Bug ID" prompt="Unique ID throughout the project._x000a_For every Bug found during Test as well as Re-Test, a new Bug ID needs to be entered here (as a comma seperated value)" sqref="B42:E42"/>
    <dataValidation allowBlank="1" showInputMessage="1" showErrorMessage="1" promptTitle="PCL sheet name" prompt=" " sqref="F42:G42"/>
    <dataValidation type="list" allowBlank="1" showInputMessage="1" showErrorMessage="1" sqref="H41:AF41">
      <formula1>"OK, NG, NA, PT"</formula1>
    </dataValidation>
    <dataValidation type="list" allowBlank="1" showInputMessage="1" showErrorMessage="1" sqref="H38:AF38">
      <formula1>"N, A, B"</formula1>
    </dataValidation>
    <dataValidation allowBlank="1" showInputMessage="1" showErrorMessage="1" promptTitle="Check points" prompt="that need / need not be executed" sqref="A17:A37"/>
    <dataValidation allowBlank="1" showInputMessage="1" showErrorMessage="1" promptTitle="Input conditions" prompt="that need to be checked." sqref="A4:A16"/>
  </dataValidations>
  <hyperlinks>
    <hyperlink ref="D13" r:id="rId1"/>
    <hyperlink ref="D9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1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N15" sqref="N1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100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247</v>
      </c>
      <c r="AB2" s="233"/>
      <c r="AC2" s="220" t="s">
        <v>248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2">
        <v>1</v>
      </c>
      <c r="I3" s="12" t="str">
        <f>IF(COUNTA(I4:I12)&gt;0,IF(#REF!&gt;0,#REF!+1,""),"")</f>
        <v/>
      </c>
      <c r="J3" s="12" t="str">
        <f>IF(COUNTA(J4:J12)&gt;0,IF(G3&gt;0,G3+1,""),"")</f>
        <v/>
      </c>
      <c r="K3" s="12" t="str">
        <f>IF(COUNTA(K4:K12)&gt;0,IF(H3&gt;0,H3+1,""),"")</f>
        <v/>
      </c>
      <c r="L3" s="12" t="str">
        <f t="shared" ref="K3:AF3" si="0">IF(COUNTA(L4:L12)&gt;0,IF(K3&gt;0,K3+1,""),"")</f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89" t="s">
        <v>249</v>
      </c>
      <c r="C4" s="289"/>
      <c r="D4" s="289"/>
      <c r="E4" s="289"/>
      <c r="F4" s="289"/>
      <c r="G4" s="290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102</v>
      </c>
      <c r="C5" s="291"/>
      <c r="D5" s="291"/>
      <c r="E5" s="291"/>
      <c r="F5" s="291"/>
      <c r="G5" s="292"/>
      <c r="H5" s="19"/>
      <c r="I5" s="19"/>
      <c r="J5" s="135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10"/>
      <c r="B6" s="94"/>
      <c r="C6" s="293" t="s">
        <v>101</v>
      </c>
      <c r="D6" s="294"/>
      <c r="E6" s="294"/>
      <c r="F6" s="294"/>
      <c r="G6" s="295"/>
      <c r="H6" s="22" t="s">
        <v>80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3" t="s">
        <v>46</v>
      </c>
      <c r="B7" s="206" t="s">
        <v>25</v>
      </c>
      <c r="C7" s="207"/>
      <c r="D7" s="207"/>
      <c r="E7" s="207"/>
      <c r="F7" s="207"/>
      <c r="G7" s="207"/>
      <c r="H7" s="25"/>
      <c r="I7" s="26"/>
      <c r="J7" s="68"/>
      <c r="K7" s="68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4"/>
      <c r="B8" s="254"/>
      <c r="C8" s="193" t="s">
        <v>103</v>
      </c>
      <c r="D8" s="194"/>
      <c r="E8" s="194"/>
      <c r="F8" s="194"/>
      <c r="G8" s="250"/>
      <c r="H8" s="22"/>
      <c r="I8" s="23"/>
      <c r="J8" s="62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4"/>
      <c r="B9" s="215"/>
      <c r="C9" s="95"/>
      <c r="D9" s="260" t="s">
        <v>104</v>
      </c>
      <c r="E9" s="260"/>
      <c r="F9" s="260"/>
      <c r="G9" s="285"/>
      <c r="H9" s="22" t="s">
        <v>80</v>
      </c>
      <c r="I9" s="23"/>
      <c r="J9" s="62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4"/>
      <c r="B10" s="215"/>
      <c r="C10" s="193" t="s">
        <v>105</v>
      </c>
      <c r="D10" s="194"/>
      <c r="E10" s="194"/>
      <c r="F10" s="194"/>
      <c r="G10" s="250"/>
      <c r="H10" s="22"/>
      <c r="I10" s="23"/>
      <c r="J10" s="62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 thickBot="1">
      <c r="A11" s="204"/>
      <c r="B11" s="251"/>
      <c r="C11" s="72"/>
      <c r="D11" s="260" t="s">
        <v>104</v>
      </c>
      <c r="E11" s="260"/>
      <c r="F11" s="260"/>
      <c r="G11" s="285"/>
      <c r="H11" s="22" t="s">
        <v>80</v>
      </c>
      <c r="I11" s="23"/>
      <c r="J11" s="62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4" customHeight="1">
      <c r="A12" s="195" t="s">
        <v>47</v>
      </c>
      <c r="B12" s="286"/>
      <c r="C12" s="198"/>
      <c r="D12" s="198"/>
      <c r="E12" s="198"/>
      <c r="F12" s="199"/>
      <c r="G12" s="35" t="s">
        <v>36</v>
      </c>
      <c r="H12" s="36" t="s">
        <v>81</v>
      </c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8"/>
    </row>
    <row r="13" spans="1:32" s="17" customFormat="1" ht="27" customHeight="1">
      <c r="A13" s="196"/>
      <c r="B13" s="200"/>
      <c r="C13" s="201"/>
      <c r="D13" s="201"/>
      <c r="E13" s="201"/>
      <c r="F13" s="202"/>
      <c r="G13" s="39" t="s">
        <v>37</v>
      </c>
      <c r="H13" s="40" t="s">
        <v>261</v>
      </c>
      <c r="I13" s="74"/>
      <c r="J13" s="13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42"/>
    </row>
    <row r="14" spans="1:32" s="17" customFormat="1" ht="27" customHeight="1">
      <c r="A14" s="196"/>
      <c r="B14" s="200"/>
      <c r="C14" s="201"/>
      <c r="D14" s="201"/>
      <c r="E14" s="201"/>
      <c r="F14" s="202"/>
      <c r="G14" s="39" t="s">
        <v>38</v>
      </c>
      <c r="H14" s="43">
        <v>43703</v>
      </c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5"/>
    </row>
    <row r="15" spans="1:32" s="17" customFormat="1" ht="24.75" customHeight="1">
      <c r="A15" s="196"/>
      <c r="B15" s="200" t="s">
        <v>83</v>
      </c>
      <c r="C15" s="201"/>
      <c r="D15" s="201"/>
      <c r="E15" s="201"/>
      <c r="F15" s="202"/>
      <c r="G15" s="46" t="s">
        <v>1</v>
      </c>
      <c r="H15" s="40" t="s">
        <v>262</v>
      </c>
      <c r="I15" s="74"/>
      <c r="J15" s="74"/>
      <c r="K15" s="74"/>
      <c r="L15" s="74"/>
      <c r="M15" s="74"/>
      <c r="N15" s="70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42"/>
    </row>
    <row r="16" spans="1:32" s="17" customFormat="1" ht="24.75" customHeight="1">
      <c r="A16" s="235" t="s">
        <v>48</v>
      </c>
      <c r="B16" s="237" t="s">
        <v>40</v>
      </c>
      <c r="C16" s="237"/>
      <c r="D16" s="237"/>
      <c r="E16" s="237"/>
      <c r="F16" s="238" t="str">
        <f>GetBugSheetName()</f>
        <v>Summary_</v>
      </c>
      <c r="G16" s="239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4"/>
    </row>
    <row r="17" spans="1:32" s="17" customFormat="1" ht="36" customHeight="1" thickBot="1">
      <c r="A17" s="236"/>
      <c r="B17" s="223" t="s">
        <v>30</v>
      </c>
      <c r="C17" s="224"/>
      <c r="D17" s="224"/>
      <c r="E17" s="225"/>
      <c r="F17" s="223"/>
      <c r="G17" s="240"/>
      <c r="H17" s="61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 t="str">
        <f t="shared" ref="S17:AF17" si="1">IF(S16="","",(SUM(LEN(S16)-LEN(SUBSTITUTE(S16,",","")))/LEN(",")) + 1 )</f>
        <v/>
      </c>
      <c r="T17" s="55" t="str">
        <f t="shared" si="1"/>
        <v/>
      </c>
      <c r="U17" s="55" t="str">
        <f t="shared" si="1"/>
        <v/>
      </c>
      <c r="V17" s="55" t="str">
        <f t="shared" si="1"/>
        <v/>
      </c>
      <c r="W17" s="55" t="str">
        <f t="shared" si="1"/>
        <v/>
      </c>
      <c r="X17" s="55" t="str">
        <f t="shared" si="1"/>
        <v/>
      </c>
      <c r="Y17" s="55" t="str">
        <f t="shared" si="1"/>
        <v/>
      </c>
      <c r="Z17" s="55" t="str">
        <f t="shared" si="1"/>
        <v/>
      </c>
      <c r="AA17" s="55" t="str">
        <f t="shared" si="1"/>
        <v/>
      </c>
      <c r="AB17" s="55" t="str">
        <f t="shared" si="1"/>
        <v/>
      </c>
      <c r="AC17" s="55" t="str">
        <f t="shared" si="1"/>
        <v/>
      </c>
      <c r="AD17" s="55" t="str">
        <f t="shared" si="1"/>
        <v/>
      </c>
      <c r="AE17" s="55" t="str">
        <f t="shared" si="1"/>
        <v/>
      </c>
      <c r="AF17" s="56" t="str">
        <f t="shared" si="1"/>
        <v/>
      </c>
    </row>
    <row r="18" spans="1:32" s="17" customFormat="1">
      <c r="H18" s="47"/>
      <c r="I18" s="47"/>
      <c r="J18" s="47"/>
      <c r="K18" s="47"/>
      <c r="L18" s="47"/>
      <c r="M18" s="47"/>
      <c r="N18" s="48"/>
      <c r="O18" s="49"/>
      <c r="P18" s="47"/>
      <c r="Q18" s="47"/>
      <c r="R18" s="47"/>
      <c r="S18" s="47"/>
      <c r="T18" s="47"/>
      <c r="U18" s="47"/>
      <c r="V18" s="47"/>
    </row>
  </sheetData>
  <sheetProtection insertRows="0"/>
  <protectedRanges>
    <protectedRange sqref="B7:G7 B8:B11" name="Range2_1"/>
    <protectedRange sqref="H14:AF16 I12 H13:I13 J12:AF13" name="Range3_1_1"/>
    <protectedRange sqref="H4:H5 I4:AF11" name="Range2_1_1"/>
    <protectedRange sqref="B5:G6" name="Range2_1_2"/>
    <protectedRange sqref="B4:G4" name="Range2_1_2_1"/>
    <protectedRange sqref="C8:G11" name="Range2_1_3"/>
    <protectedRange sqref="H12" name="Range3_1_1_1"/>
    <protectedRange sqref="H6:H11" name="Range2_1_1_1"/>
    <protectedRange sqref="B1:O1 P2 T1 B2:E2" name="Range1_1_1"/>
    <protectedRange sqref="P2 AC2:AF2" name="Range1_1_1_1"/>
    <protectedRange sqref="AC1:AF1" name="Range1_1_1_2"/>
  </protectedRanges>
  <mergeCells count="33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A4:A6"/>
    <mergeCell ref="B4:G4"/>
    <mergeCell ref="B5:G5"/>
    <mergeCell ref="C6:G6"/>
    <mergeCell ref="B2:E2"/>
    <mergeCell ref="F2:H2"/>
    <mergeCell ref="A16:A17"/>
    <mergeCell ref="B16:E16"/>
    <mergeCell ref="F16:G16"/>
    <mergeCell ref="B17:E17"/>
    <mergeCell ref="F17:G17"/>
    <mergeCell ref="D9:G9"/>
    <mergeCell ref="B8:B11"/>
    <mergeCell ref="A12:A15"/>
    <mergeCell ref="B12:F12"/>
    <mergeCell ref="B13:F13"/>
    <mergeCell ref="B14:F14"/>
    <mergeCell ref="B15:F15"/>
    <mergeCell ref="C10:G10"/>
    <mergeCell ref="D11:G11"/>
    <mergeCell ref="A7:A11"/>
    <mergeCell ref="B7:G7"/>
    <mergeCell ref="C8:G8"/>
  </mergeCells>
  <conditionalFormatting sqref="H14:AF17 I3:I12 H13:I13 K3:AF13">
    <cfRule type="expression" dxfId="29" priority="7" stopIfTrue="1">
      <formula>H$15="NA"</formula>
    </cfRule>
    <cfRule type="expression" dxfId="28" priority="8" stopIfTrue="1">
      <formula>H$15="NG"</formula>
    </cfRule>
  </conditionalFormatting>
  <conditionalFormatting sqref="H3:H12">
    <cfRule type="expression" dxfId="5" priority="17" stopIfTrue="1">
      <formula>J$15="NA"</formula>
    </cfRule>
    <cfRule type="expression" dxfId="4" priority="18" stopIfTrue="1">
      <formula>J$15="NG"</formula>
    </cfRule>
  </conditionalFormatting>
  <conditionalFormatting sqref="J3:J13">
    <cfRule type="expression" dxfId="3" priority="1" stopIfTrue="1">
      <formula>J$15="NA"</formula>
    </cfRule>
    <cfRule type="expression" dxfId="2" priority="2" stopIfTrue="1">
      <formula>J$15="NG"</formula>
    </cfRule>
  </conditionalFormatting>
  <dataValidations count="10">
    <dataValidation allowBlank="1" showInputMessage="1" showErrorMessage="1" promptTitle="Condition Type" prompt="N : Normal _x000a_A : Abnormal _x000a_B : Boundary" sqref="G12"/>
    <dataValidation allowBlank="1" showInputMessage="1" showErrorMessage="1" promptTitle="Enter" prompt="Name of the person who performed the test" sqref="G13"/>
    <dataValidation allowBlank="1" showInputMessage="1" showErrorMessage="1" promptTitle="Testing Date" prompt="Date on which test was performed in yyyy/mm/dd format" sqref="G1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6:E16"/>
    <dataValidation allowBlank="1" showInputMessage="1" showErrorMessage="1" promptTitle="PCL sheet name" prompt=" " sqref="F16:G16"/>
    <dataValidation type="list" allowBlank="1" showInputMessage="1" showErrorMessage="1" sqref="H15:AF15">
      <formula1>"OK, NG, NA, PT"</formula1>
    </dataValidation>
    <dataValidation allowBlank="1" showInputMessage="1" showErrorMessage="1" promptTitle="Check points" prompt="that need / need not be executed" sqref="A7:A11"/>
    <dataValidation allowBlank="1" showInputMessage="1" showErrorMessage="1" promptTitle="Input conditions" prompt="that need to be checked." sqref="A4:A6"/>
    <dataValidation type="list" allowBlank="1" showInputMessage="1" showErrorMessage="1" sqref="H12:AF12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F32"/>
  <sheetViews>
    <sheetView view="pageBreakPreview" zoomScale="85" zoomScaleNormal="70" workbookViewId="0">
      <pane xSplit="7" ySplit="3" topLeftCell="H13" activePane="bottomRight" state="frozen"/>
      <selection activeCell="A5" sqref="A5"/>
      <selection pane="topRight" activeCell="A5" sqref="A5"/>
      <selection pane="bottomLeft" activeCell="A5" sqref="A5"/>
      <selection pane="bottomRight" activeCell="P29" sqref="P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56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247</v>
      </c>
      <c r="AB2" s="233"/>
      <c r="AC2" s="220" t="s">
        <v>251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IF(COUNTA(H4:H26)&gt;0,1,"")</f>
        <v>1</v>
      </c>
      <c r="I3" s="12">
        <f>IF(COUNTA(I4:I26)&gt;0,IF(H3&gt;0,H3+1,""),"")</f>
        <v>2</v>
      </c>
      <c r="J3" s="12">
        <v>3</v>
      </c>
      <c r="K3" s="12">
        <f t="shared" ref="K3:AF3" si="0">IF(COUNTA(K4:K26)&gt;0,IF(J3&gt;0,J3+1,""),"")</f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07" t="s">
        <v>250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107</v>
      </c>
      <c r="C5" s="291"/>
      <c r="D5" s="291"/>
      <c r="E5" s="291"/>
      <c r="F5" s="291"/>
      <c r="G5" s="292"/>
      <c r="H5" s="19" t="s">
        <v>80</v>
      </c>
      <c r="I5" s="19" t="s">
        <v>80</v>
      </c>
      <c r="J5" s="19" t="s">
        <v>80</v>
      </c>
      <c r="K5" s="19" t="s">
        <v>80</v>
      </c>
      <c r="L5" s="19" t="s">
        <v>80</v>
      </c>
      <c r="M5" s="19" t="s">
        <v>80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300"/>
      <c r="C6" s="253" t="s">
        <v>108</v>
      </c>
      <c r="D6" s="256"/>
      <c r="E6" s="256"/>
      <c r="F6" s="256"/>
      <c r="G6" s="257"/>
      <c r="H6" s="90" t="s">
        <v>80</v>
      </c>
      <c r="I6" s="19"/>
      <c r="J6" s="19"/>
      <c r="K6" s="19"/>
      <c r="L6" s="19"/>
      <c r="M6" s="19"/>
      <c r="N6" s="19"/>
      <c r="O6" s="19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300"/>
      <c r="C7" s="253" t="s">
        <v>109</v>
      </c>
      <c r="D7" s="256"/>
      <c r="E7" s="256"/>
      <c r="F7" s="256"/>
      <c r="G7" s="257"/>
      <c r="H7" s="90"/>
      <c r="I7" s="19"/>
      <c r="J7" s="19"/>
      <c r="K7" s="19"/>
      <c r="L7" s="19"/>
      <c r="M7" s="19"/>
      <c r="N7" s="19"/>
      <c r="O7" s="19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300"/>
      <c r="C8" s="301"/>
      <c r="D8" s="256" t="s">
        <v>110</v>
      </c>
      <c r="E8" s="256"/>
      <c r="F8" s="256"/>
      <c r="G8" s="257"/>
      <c r="H8" s="90"/>
      <c r="I8" s="19" t="s">
        <v>80</v>
      </c>
      <c r="J8" s="19"/>
      <c r="K8" s="19"/>
      <c r="L8" s="19"/>
      <c r="M8" s="19"/>
      <c r="N8" s="19"/>
      <c r="O8" s="19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300"/>
      <c r="C9" s="302"/>
      <c r="D9" s="256" t="s">
        <v>111</v>
      </c>
      <c r="E9" s="256"/>
      <c r="F9" s="256"/>
      <c r="G9" s="257"/>
      <c r="H9" s="90"/>
      <c r="I9" s="19"/>
      <c r="J9" s="19" t="s">
        <v>80</v>
      </c>
      <c r="K9" s="19"/>
      <c r="L9" s="19"/>
      <c r="M9" s="19"/>
      <c r="N9" s="19"/>
      <c r="O9" s="19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300"/>
      <c r="C10" s="211" t="s">
        <v>75</v>
      </c>
      <c r="D10" s="214"/>
      <c r="E10" s="214"/>
      <c r="F10" s="214"/>
      <c r="G10" s="280"/>
      <c r="H10" s="83"/>
      <c r="I10" s="19"/>
      <c r="J10" s="19"/>
      <c r="K10" s="19" t="s">
        <v>80</v>
      </c>
      <c r="L10" s="19"/>
      <c r="M10" s="19"/>
      <c r="N10" s="19"/>
      <c r="O10" s="19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300"/>
      <c r="C11" s="211" t="s">
        <v>77</v>
      </c>
      <c r="D11" s="214"/>
      <c r="E11" s="214"/>
      <c r="F11" s="214"/>
      <c r="G11" s="280"/>
      <c r="H11" s="83"/>
      <c r="I11" s="19"/>
      <c r="J11" s="19"/>
      <c r="K11" s="19"/>
      <c r="L11" s="19" t="s">
        <v>80</v>
      </c>
      <c r="M11" s="19"/>
      <c r="N11" s="19"/>
      <c r="O11" s="19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210"/>
      <c r="B12" s="254"/>
      <c r="C12" s="269" t="s">
        <v>87</v>
      </c>
      <c r="D12" s="270"/>
      <c r="E12" s="270"/>
      <c r="F12" s="270"/>
      <c r="G12" s="271"/>
      <c r="H12" s="102"/>
      <c r="I12" s="75"/>
      <c r="J12" s="75"/>
      <c r="K12" s="75"/>
      <c r="L12" s="75"/>
      <c r="M12" s="75" t="s">
        <v>80</v>
      </c>
      <c r="N12" s="75"/>
      <c r="O12" s="7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3" t="s">
        <v>46</v>
      </c>
      <c r="B13" s="289" t="s">
        <v>66</v>
      </c>
      <c r="C13" s="289"/>
      <c r="D13" s="289"/>
      <c r="E13" s="289"/>
      <c r="F13" s="289"/>
      <c r="G13" s="299"/>
      <c r="H13" s="103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204"/>
      <c r="B14" s="254"/>
      <c r="C14" s="211" t="s">
        <v>113</v>
      </c>
      <c r="D14" s="214"/>
      <c r="E14" s="214"/>
      <c r="F14" s="214"/>
      <c r="G14" s="280"/>
      <c r="H14" s="104"/>
      <c r="I14" s="87"/>
      <c r="J14" s="87"/>
      <c r="K14" s="87"/>
      <c r="L14" s="87"/>
      <c r="M14" s="87"/>
      <c r="N14" s="87"/>
      <c r="O14" s="87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4"/>
      <c r="B15" s="215"/>
      <c r="C15" s="296"/>
      <c r="D15" s="211" t="s">
        <v>70</v>
      </c>
      <c r="E15" s="214"/>
      <c r="F15" s="214"/>
      <c r="G15" s="280"/>
      <c r="H15" s="104"/>
      <c r="I15" s="19" t="s">
        <v>80</v>
      </c>
      <c r="J15" s="19" t="s">
        <v>80</v>
      </c>
      <c r="K15" s="87"/>
      <c r="L15" s="87"/>
      <c r="M15" s="87"/>
      <c r="N15" s="87"/>
      <c r="O15" s="87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204"/>
      <c r="B16" s="215"/>
      <c r="C16" s="297"/>
      <c r="D16" s="194" t="s">
        <v>73</v>
      </c>
      <c r="E16" s="194"/>
      <c r="F16" s="194"/>
      <c r="G16" s="250"/>
      <c r="H16" s="104"/>
      <c r="I16" s="87"/>
      <c r="J16" s="87"/>
      <c r="K16" s="87"/>
      <c r="L16" s="87"/>
      <c r="M16" s="87"/>
      <c r="N16" s="87"/>
      <c r="O16" s="87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4"/>
      <c r="B17" s="215"/>
      <c r="C17" s="298"/>
      <c r="D17" s="100"/>
      <c r="E17" s="194" t="s">
        <v>74</v>
      </c>
      <c r="F17" s="194"/>
      <c r="G17" s="250"/>
      <c r="H17" s="19" t="s">
        <v>80</v>
      </c>
      <c r="I17" s="19" t="s">
        <v>80</v>
      </c>
      <c r="J17" s="19" t="s">
        <v>80</v>
      </c>
      <c r="K17" s="19" t="s">
        <v>80</v>
      </c>
      <c r="L17" s="19" t="s">
        <v>80</v>
      </c>
      <c r="M17" s="81"/>
      <c r="N17" s="19"/>
      <c r="O17" s="81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4"/>
      <c r="B18" s="215"/>
      <c r="C18" s="193" t="s">
        <v>114</v>
      </c>
      <c r="D18" s="194"/>
      <c r="E18" s="194"/>
      <c r="F18" s="194"/>
      <c r="G18" s="250"/>
      <c r="H18" s="104"/>
      <c r="I18" s="87"/>
      <c r="J18" s="87"/>
      <c r="K18" s="87"/>
      <c r="L18" s="87"/>
      <c r="M18" s="87"/>
      <c r="N18" s="87"/>
      <c r="O18" s="87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1"/>
    </row>
    <row r="19" spans="1:32" s="17" customFormat="1" ht="13.5" customHeight="1">
      <c r="A19" s="204"/>
      <c r="B19" s="215"/>
      <c r="C19" s="95"/>
      <c r="D19" s="193" t="s">
        <v>115</v>
      </c>
      <c r="E19" s="194"/>
      <c r="F19" s="194"/>
      <c r="G19" s="250"/>
      <c r="H19" s="104"/>
      <c r="I19" s="87"/>
      <c r="J19" s="87"/>
      <c r="K19" s="87" t="s">
        <v>80</v>
      </c>
      <c r="L19" s="87"/>
      <c r="M19" s="87"/>
      <c r="N19" s="87"/>
      <c r="O19" s="87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1"/>
    </row>
    <row r="20" spans="1:32" s="17" customFormat="1" ht="13.5" customHeight="1">
      <c r="A20" s="204"/>
      <c r="B20" s="215"/>
      <c r="C20" s="193" t="s">
        <v>77</v>
      </c>
      <c r="D20" s="194"/>
      <c r="E20" s="194"/>
      <c r="F20" s="194"/>
      <c r="G20" s="250"/>
      <c r="H20" s="104"/>
      <c r="I20" s="87"/>
      <c r="J20" s="87"/>
      <c r="K20" s="87"/>
      <c r="L20" s="87"/>
      <c r="M20" s="87"/>
      <c r="N20" s="87"/>
      <c r="O20" s="87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4"/>
      <c r="B21" s="215"/>
      <c r="C21" s="95"/>
      <c r="D21" s="193" t="s">
        <v>115</v>
      </c>
      <c r="E21" s="194"/>
      <c r="F21" s="194"/>
      <c r="G21" s="250"/>
      <c r="H21" s="105"/>
      <c r="I21" s="23"/>
      <c r="J21" s="23"/>
      <c r="K21" s="23"/>
      <c r="L21" s="23" t="s">
        <v>80</v>
      </c>
      <c r="M21" s="23"/>
      <c r="N21" s="23"/>
      <c r="O21" s="23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4"/>
      <c r="B22" s="215"/>
      <c r="C22" s="193" t="s">
        <v>116</v>
      </c>
      <c r="D22" s="194"/>
      <c r="E22" s="194"/>
      <c r="F22" s="194"/>
      <c r="G22" s="250"/>
      <c r="H22" s="106"/>
      <c r="I22" s="23"/>
      <c r="J22" s="23"/>
      <c r="K22" s="23"/>
      <c r="L22" s="23"/>
      <c r="M22" s="23"/>
      <c r="N22" s="23"/>
      <c r="O22" s="23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3.5" customHeight="1">
      <c r="A23" s="204"/>
      <c r="B23" s="215"/>
      <c r="C23" s="79"/>
      <c r="D23" s="194" t="s">
        <v>117</v>
      </c>
      <c r="E23" s="194"/>
      <c r="F23" s="194"/>
      <c r="G23" s="250"/>
      <c r="H23" s="105" t="s">
        <v>80</v>
      </c>
      <c r="I23" s="23"/>
      <c r="J23" s="23"/>
      <c r="K23" s="23"/>
      <c r="L23" s="23"/>
      <c r="M23" s="23"/>
      <c r="N23" s="23"/>
      <c r="O23" s="23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1"/>
    </row>
    <row r="24" spans="1:32" s="17" customFormat="1" ht="13.5" customHeight="1">
      <c r="A24" s="204"/>
      <c r="B24" s="215"/>
      <c r="C24" s="193" t="s">
        <v>118</v>
      </c>
      <c r="D24" s="194"/>
      <c r="E24" s="194"/>
      <c r="F24" s="194"/>
      <c r="G24" s="250"/>
      <c r="H24" s="107"/>
      <c r="I24" s="23"/>
      <c r="J24" s="23"/>
      <c r="K24" s="23"/>
      <c r="L24" s="23"/>
      <c r="M24" s="23"/>
      <c r="N24" s="23"/>
      <c r="O24" s="23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3.5" customHeight="1" thickBot="1">
      <c r="A25" s="204"/>
      <c r="B25" s="251"/>
      <c r="C25" s="101"/>
      <c r="D25" s="191" t="s">
        <v>119</v>
      </c>
      <c r="E25" s="192"/>
      <c r="F25" s="192"/>
      <c r="G25" s="288"/>
      <c r="H25" s="108"/>
      <c r="I25" s="30"/>
      <c r="J25" s="30"/>
      <c r="K25" s="30"/>
      <c r="L25" s="30"/>
      <c r="M25" s="30" t="s">
        <v>80</v>
      </c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24" customHeight="1">
      <c r="A26" s="195" t="s">
        <v>47</v>
      </c>
      <c r="B26" s="197"/>
      <c r="C26" s="198"/>
      <c r="D26" s="198"/>
      <c r="E26" s="198"/>
      <c r="F26" s="199"/>
      <c r="G26" s="35" t="s">
        <v>36</v>
      </c>
      <c r="H26" s="36" t="s">
        <v>81</v>
      </c>
      <c r="I26" s="37" t="s">
        <v>81</v>
      </c>
      <c r="J26" s="37" t="s">
        <v>81</v>
      </c>
      <c r="K26" s="37" t="s">
        <v>81</v>
      </c>
      <c r="L26" s="37" t="s">
        <v>81</v>
      </c>
      <c r="M26" s="37" t="s">
        <v>82</v>
      </c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8"/>
    </row>
    <row r="27" spans="1:32" s="17" customFormat="1" ht="27" customHeight="1">
      <c r="A27" s="196"/>
      <c r="B27" s="200"/>
      <c r="C27" s="201"/>
      <c r="D27" s="201"/>
      <c r="E27" s="201"/>
      <c r="F27" s="202"/>
      <c r="G27" s="39" t="s">
        <v>37</v>
      </c>
      <c r="H27" s="40" t="s">
        <v>261</v>
      </c>
      <c r="I27" s="40" t="s">
        <v>261</v>
      </c>
      <c r="J27" s="40" t="s">
        <v>261</v>
      </c>
      <c r="K27" s="40" t="s">
        <v>261</v>
      </c>
      <c r="L27" s="40" t="s">
        <v>261</v>
      </c>
      <c r="M27" s="40" t="s">
        <v>261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42"/>
    </row>
    <row r="28" spans="1:32" s="17" customFormat="1" ht="27" customHeight="1">
      <c r="A28" s="196"/>
      <c r="B28" s="200"/>
      <c r="C28" s="201"/>
      <c r="D28" s="201"/>
      <c r="E28" s="201"/>
      <c r="F28" s="202"/>
      <c r="G28" s="39" t="s">
        <v>38</v>
      </c>
      <c r="H28" s="43">
        <v>43703</v>
      </c>
      <c r="I28" s="43">
        <v>43703</v>
      </c>
      <c r="J28" s="43">
        <v>43703</v>
      </c>
      <c r="K28" s="43">
        <v>43703</v>
      </c>
      <c r="L28" s="43">
        <v>43703</v>
      </c>
      <c r="M28" s="43">
        <v>43703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5"/>
    </row>
    <row r="29" spans="1:32" s="17" customFormat="1" ht="24.75" customHeight="1">
      <c r="A29" s="196"/>
      <c r="B29" s="200" t="s">
        <v>83</v>
      </c>
      <c r="C29" s="201"/>
      <c r="D29" s="201"/>
      <c r="E29" s="201"/>
      <c r="F29" s="202"/>
      <c r="G29" s="46" t="s">
        <v>1</v>
      </c>
      <c r="H29" s="40" t="s">
        <v>262</v>
      </c>
      <c r="I29" s="40" t="s">
        <v>262</v>
      </c>
      <c r="J29" s="40" t="s">
        <v>262</v>
      </c>
      <c r="K29" s="40" t="s">
        <v>262</v>
      </c>
      <c r="L29" s="40" t="s">
        <v>262</v>
      </c>
      <c r="M29" s="40" t="s">
        <v>262</v>
      </c>
      <c r="N29" s="70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42"/>
    </row>
    <row r="30" spans="1:32" s="17" customFormat="1" ht="24.75" customHeight="1">
      <c r="A30" s="235" t="s">
        <v>48</v>
      </c>
      <c r="B30" s="237" t="s">
        <v>40</v>
      </c>
      <c r="C30" s="237"/>
      <c r="D30" s="237"/>
      <c r="E30" s="237"/>
      <c r="F30" s="238" t="str">
        <f>GetBugSheetName()</f>
        <v>Summary_</v>
      </c>
      <c r="G30" s="239"/>
      <c r="H30" s="60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4"/>
    </row>
    <row r="31" spans="1:32" s="17" customFormat="1" ht="36" customHeight="1" thickBot="1">
      <c r="A31" s="236"/>
      <c r="B31" s="223" t="s">
        <v>30</v>
      </c>
      <c r="C31" s="224"/>
      <c r="D31" s="224"/>
      <c r="E31" s="225"/>
      <c r="F31" s="223"/>
      <c r="G31" s="240"/>
      <c r="H31" s="6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 t="str">
        <f t="shared" ref="S31:AF31" si="1">IF(S30="","",(SUM(LEN(S30)-LEN(SUBSTITUTE(S30,",","")))/LEN(",")) + 1 )</f>
        <v/>
      </c>
      <c r="T31" s="55" t="str">
        <f t="shared" si="1"/>
        <v/>
      </c>
      <c r="U31" s="55" t="str">
        <f t="shared" si="1"/>
        <v/>
      </c>
      <c r="V31" s="55" t="str">
        <f t="shared" si="1"/>
        <v/>
      </c>
      <c r="W31" s="55" t="str">
        <f t="shared" si="1"/>
        <v/>
      </c>
      <c r="X31" s="55" t="str">
        <f t="shared" si="1"/>
        <v/>
      </c>
      <c r="Y31" s="55" t="str">
        <f t="shared" si="1"/>
        <v/>
      </c>
      <c r="Z31" s="55" t="str">
        <f t="shared" si="1"/>
        <v/>
      </c>
      <c r="AA31" s="55" t="str">
        <f t="shared" si="1"/>
        <v/>
      </c>
      <c r="AB31" s="55" t="str">
        <f t="shared" si="1"/>
        <v/>
      </c>
      <c r="AC31" s="55" t="str">
        <f t="shared" si="1"/>
        <v/>
      </c>
      <c r="AD31" s="55" t="str">
        <f t="shared" si="1"/>
        <v/>
      </c>
      <c r="AE31" s="55" t="str">
        <f t="shared" si="1"/>
        <v/>
      </c>
      <c r="AF31" s="56" t="str">
        <f t="shared" si="1"/>
        <v/>
      </c>
    </row>
    <row r="32" spans="1:32" s="17" customFormat="1">
      <c r="H32" s="47"/>
      <c r="I32" s="47"/>
      <c r="J32" s="47"/>
      <c r="K32" s="47"/>
      <c r="L32" s="47"/>
      <c r="M32" s="47"/>
      <c r="N32" s="48"/>
      <c r="O32" s="49"/>
      <c r="P32" s="47"/>
      <c r="Q32" s="47"/>
      <c r="R32" s="47"/>
      <c r="S32" s="47"/>
      <c r="T32" s="47"/>
      <c r="U32" s="47"/>
      <c r="V32" s="47"/>
    </row>
  </sheetData>
  <sheetProtection insertRows="0"/>
  <protectedRanges>
    <protectedRange sqref="P26:AF26 H27:AF30" name="Range3_1_1"/>
    <protectedRange sqref="H4:AF4 P5:AF25" name="Range2_1_1"/>
    <protectedRange sqref="B4:G4" name="Range2_1_2"/>
    <protectedRange sqref="B10:B12 B5:G9" name="Range2_1_12_1"/>
    <protectedRange sqref="C10:G11" name="Range2_1_3_1_1"/>
    <protectedRange sqref="C12:G12" name="Range2_1_4_1"/>
    <protectedRange sqref="B13:G15 B16:B25" name="Range2_1_3"/>
    <protectedRange sqref="C16:G23" name="Range2_1_12_2"/>
    <protectedRange sqref="C24:G24" name="Range2_1_12"/>
    <protectedRange sqref="C25:G25" name="Range2_1_14"/>
    <protectedRange sqref="L26:O26" name="Range3_1_1_1"/>
    <protectedRange sqref="N17 L5:O16 L18:O25 L17" name="Range2_1_1_1"/>
    <protectedRange sqref="O17 M17" name="Range2_1_2_9_3"/>
    <protectedRange sqref="B1:O1 P2 T1 B2:E2" name="Range1_1_1"/>
    <protectedRange sqref="P2 AC2:AF2" name="Range1_1_1_1"/>
    <protectedRange sqref="AC1:AF1" name="Range1_1_1_2"/>
  </protectedRanges>
  <mergeCells count="50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12"/>
    <mergeCell ref="B4:G4"/>
    <mergeCell ref="B5:G5"/>
    <mergeCell ref="C6:G6"/>
    <mergeCell ref="D8:G8"/>
    <mergeCell ref="B6:B12"/>
    <mergeCell ref="C7:G7"/>
    <mergeCell ref="C8:C9"/>
    <mergeCell ref="D9:G9"/>
    <mergeCell ref="C10:G10"/>
    <mergeCell ref="C11:G11"/>
    <mergeCell ref="C12:G12"/>
    <mergeCell ref="A30:A31"/>
    <mergeCell ref="B30:E30"/>
    <mergeCell ref="F30:G30"/>
    <mergeCell ref="B31:E31"/>
    <mergeCell ref="F31:G31"/>
    <mergeCell ref="D19:G19"/>
    <mergeCell ref="A26:A29"/>
    <mergeCell ref="B26:F26"/>
    <mergeCell ref="B27:F27"/>
    <mergeCell ref="B28:F28"/>
    <mergeCell ref="B29:F29"/>
    <mergeCell ref="A13:A25"/>
    <mergeCell ref="B13:G13"/>
    <mergeCell ref="C14:G14"/>
    <mergeCell ref="B14:B25"/>
    <mergeCell ref="C18:G18"/>
    <mergeCell ref="C15:C17"/>
    <mergeCell ref="D15:G15"/>
    <mergeCell ref="D16:G16"/>
    <mergeCell ref="E17:G17"/>
    <mergeCell ref="C24:G24"/>
    <mergeCell ref="D25:G25"/>
    <mergeCell ref="C20:G20"/>
    <mergeCell ref="D21:G21"/>
    <mergeCell ref="C22:G22"/>
    <mergeCell ref="D23:G23"/>
  </mergeCells>
  <conditionalFormatting sqref="H3:AF31">
    <cfRule type="expression" dxfId="27" priority="5" stopIfTrue="1">
      <formula>H$29="NA"</formula>
    </cfRule>
    <cfRule type="expression" dxfId="26" priority="6" stopIfTrue="1">
      <formula>H$29="NG"</formula>
    </cfRule>
  </conditionalFormatting>
  <dataValidations count="10">
    <dataValidation allowBlank="1" showInputMessage="1" showErrorMessage="1" promptTitle="Condition Type" prompt="N : Normal _x000a_A : Abnormal _x000a_B : Boundary" sqref="G26"/>
    <dataValidation allowBlank="1" showInputMessage="1" showErrorMessage="1" promptTitle="Enter" prompt="Name of the person who performed the test" sqref="G27"/>
    <dataValidation allowBlank="1" showInputMessage="1" showErrorMessage="1" promptTitle="Testing Date" prompt="Date on which test was performed in yyyy/mm/dd format" sqref="G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30:E30"/>
    <dataValidation allowBlank="1" showInputMessage="1" showErrorMessage="1" promptTitle="PCL sheet name" prompt=" " sqref="F30:G30"/>
    <dataValidation type="list" allowBlank="1" showInputMessage="1" showErrorMessage="1" sqref="H29:AF29">
      <formula1>"OK, NG, NA, PT"</formula1>
    </dataValidation>
    <dataValidation type="list" allowBlank="1" showInputMessage="1" showErrorMessage="1" sqref="H26:AF26">
      <formula1>"N, A, B"</formula1>
    </dataValidation>
    <dataValidation allowBlank="1" showInputMessage="1" showErrorMessage="1" promptTitle="Check points" prompt="that need / need not be executed" sqref="A13:A25"/>
    <dataValidation allowBlank="1" showInputMessage="1" showErrorMessage="1" promptTitle="Input conditions" prompt="that need to be checked." sqref="A4:A1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4"/>
  <sheetViews>
    <sheetView view="pageBreakPreview" zoomScale="85" zoomScaleNormal="70" workbookViewId="0">
      <pane xSplit="7" ySplit="3" topLeftCell="H13" activePane="bottomRight" state="frozen"/>
      <selection activeCell="A5" sqref="A5"/>
      <selection pane="topRight" activeCell="A5" sqref="A5"/>
      <selection pane="bottomLeft" activeCell="A5" sqref="A5"/>
      <selection pane="bottomRight" activeCell="I31" sqref="H29:I3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120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247</v>
      </c>
      <c r="AB2" s="233"/>
      <c r="AC2" s="220" t="s">
        <v>252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IF(COUNTA(H4:H28)&gt;0,1,"")</f>
        <v>1</v>
      </c>
      <c r="I3" s="12">
        <f t="shared" ref="I3:AF3" si="0">IF(COUNTA(I4:I28)&gt;0,IF(H3&gt;0,H3+1,""),"")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99" t="s">
        <v>250</v>
      </c>
      <c r="C4" s="303"/>
      <c r="D4" s="303"/>
      <c r="E4" s="303"/>
      <c r="F4" s="303"/>
      <c r="G4" s="30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120</v>
      </c>
      <c r="C5" s="305"/>
      <c r="D5" s="305"/>
      <c r="E5" s="305"/>
      <c r="F5" s="305"/>
      <c r="G5" s="306"/>
      <c r="H5" s="110" t="s">
        <v>80</v>
      </c>
      <c r="I5" s="111" t="s">
        <v>80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54"/>
      <c r="C6" s="213" t="s">
        <v>126</v>
      </c>
      <c r="D6" s="307"/>
      <c r="E6" s="307"/>
      <c r="F6" s="307"/>
      <c r="G6" s="308"/>
      <c r="H6" s="112"/>
      <c r="I6" s="111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5"/>
      <c r="C7" s="213" t="s">
        <v>127</v>
      </c>
      <c r="D7" s="307"/>
      <c r="E7" s="307"/>
      <c r="F7" s="307"/>
      <c r="G7" s="308"/>
      <c r="H7" s="107" t="s">
        <v>80</v>
      </c>
      <c r="I7" s="30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 thickBot="1">
      <c r="A8" s="210"/>
      <c r="B8" s="251"/>
      <c r="C8" s="211" t="s">
        <v>65</v>
      </c>
      <c r="D8" s="305"/>
      <c r="E8" s="305"/>
      <c r="F8" s="305"/>
      <c r="G8" s="306"/>
      <c r="H8" s="107"/>
      <c r="I8" s="30" t="s">
        <v>80</v>
      </c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3" t="s">
        <v>46</v>
      </c>
      <c r="B9" s="206" t="s">
        <v>25</v>
      </c>
      <c r="C9" s="207"/>
      <c r="D9" s="207"/>
      <c r="E9" s="207"/>
      <c r="F9" s="207"/>
      <c r="G9" s="207"/>
      <c r="H9" s="25"/>
      <c r="I9" s="26"/>
      <c r="J9" s="26"/>
      <c r="K9" s="68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7"/>
    </row>
    <row r="10" spans="1:32" s="17" customFormat="1" ht="13.5" customHeight="1">
      <c r="A10" s="204"/>
      <c r="B10" s="254"/>
      <c r="C10" s="245" t="s">
        <v>73</v>
      </c>
      <c r="D10" s="245"/>
      <c r="E10" s="245"/>
      <c r="F10" s="245"/>
      <c r="G10" s="265"/>
      <c r="H10" s="113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4"/>
      <c r="B11" s="215"/>
      <c r="C11" s="109"/>
      <c r="D11" s="245" t="s">
        <v>74</v>
      </c>
      <c r="E11" s="245"/>
      <c r="F11" s="245"/>
      <c r="G11" s="265"/>
      <c r="H11" s="113" t="s">
        <v>80</v>
      </c>
      <c r="I11" s="82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5.5" customHeight="1">
      <c r="A12" s="204"/>
      <c r="B12" s="215"/>
      <c r="C12" s="260" t="s">
        <v>272</v>
      </c>
      <c r="D12" s="260"/>
      <c r="E12" s="260"/>
      <c r="F12" s="260"/>
      <c r="G12" s="285"/>
      <c r="H12" s="113"/>
      <c r="I12" s="82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4"/>
      <c r="B13" s="215"/>
      <c r="C13" s="262"/>
      <c r="D13" s="193" t="s">
        <v>94</v>
      </c>
      <c r="E13" s="194"/>
      <c r="F13" s="194"/>
      <c r="G13" s="250"/>
      <c r="H13" s="113" t="s">
        <v>80</v>
      </c>
      <c r="I13" s="82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04"/>
      <c r="B14" s="215"/>
      <c r="C14" s="262"/>
      <c r="D14" s="193" t="s">
        <v>273</v>
      </c>
      <c r="E14" s="194"/>
      <c r="F14" s="194"/>
      <c r="G14" s="250"/>
      <c r="H14" s="113" t="s">
        <v>80</v>
      </c>
      <c r="I14" s="82"/>
      <c r="J14" s="30"/>
      <c r="K14" s="69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1"/>
    </row>
    <row r="15" spans="1:32" s="17" customFormat="1" ht="13.5" customHeight="1">
      <c r="A15" s="204"/>
      <c r="B15" s="215"/>
      <c r="C15" s="262"/>
      <c r="D15" s="193" t="s">
        <v>267</v>
      </c>
      <c r="E15" s="194"/>
      <c r="F15" s="194"/>
      <c r="G15" s="250"/>
      <c r="H15" s="113" t="s">
        <v>80</v>
      </c>
      <c r="I15" s="82"/>
      <c r="J15" s="30"/>
      <c r="K15" s="69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1"/>
    </row>
    <row r="16" spans="1:32" s="17" customFormat="1" ht="13.5" customHeight="1">
      <c r="A16" s="204"/>
      <c r="B16" s="215"/>
      <c r="C16" s="262"/>
      <c r="D16" s="193" t="s">
        <v>268</v>
      </c>
      <c r="E16" s="194"/>
      <c r="F16" s="194"/>
      <c r="G16" s="250"/>
      <c r="H16" s="113" t="s">
        <v>80</v>
      </c>
      <c r="I16" s="82"/>
      <c r="J16" s="30"/>
      <c r="K16" s="69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1"/>
    </row>
    <row r="17" spans="1:32" s="17" customFormat="1" ht="13.5" customHeight="1">
      <c r="A17" s="204"/>
      <c r="B17" s="215"/>
      <c r="C17" s="262"/>
      <c r="D17" s="193" t="s">
        <v>264</v>
      </c>
      <c r="E17" s="194"/>
      <c r="F17" s="194"/>
      <c r="G17" s="250"/>
      <c r="H17" s="113" t="s">
        <v>80</v>
      </c>
      <c r="I17" s="82"/>
      <c r="J17" s="30"/>
      <c r="K17" s="69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1"/>
    </row>
    <row r="18" spans="1:32" s="17" customFormat="1" ht="13.5" customHeight="1">
      <c r="A18" s="204"/>
      <c r="B18" s="215"/>
      <c r="C18" s="262"/>
      <c r="D18" s="193" t="s">
        <v>265</v>
      </c>
      <c r="E18" s="194"/>
      <c r="F18" s="194"/>
      <c r="G18" s="250"/>
      <c r="H18" s="113" t="s">
        <v>80</v>
      </c>
      <c r="I18" s="82"/>
      <c r="J18" s="30"/>
      <c r="K18" s="69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1"/>
    </row>
    <row r="19" spans="1:32" s="17" customFormat="1" ht="13.5" customHeight="1">
      <c r="A19" s="204"/>
      <c r="B19" s="215"/>
      <c r="C19" s="262"/>
      <c r="D19" s="193" t="s">
        <v>121</v>
      </c>
      <c r="E19" s="194"/>
      <c r="F19" s="194"/>
      <c r="G19" s="250"/>
      <c r="H19" s="113" t="s">
        <v>80</v>
      </c>
      <c r="I19" s="82"/>
      <c r="J19" s="30"/>
      <c r="K19" s="69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1"/>
    </row>
    <row r="20" spans="1:32" s="17" customFormat="1" ht="13.5" customHeight="1">
      <c r="A20" s="204"/>
      <c r="B20" s="215"/>
      <c r="C20" s="262"/>
      <c r="D20" s="193" t="s">
        <v>269</v>
      </c>
      <c r="E20" s="194"/>
      <c r="F20" s="194"/>
      <c r="G20" s="250"/>
      <c r="H20" s="113" t="s">
        <v>80</v>
      </c>
      <c r="I20" s="82"/>
      <c r="J20" s="30"/>
      <c r="K20" s="69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4"/>
      <c r="B21" s="215"/>
      <c r="C21" s="262"/>
      <c r="D21" s="193" t="s">
        <v>270</v>
      </c>
      <c r="E21" s="194"/>
      <c r="F21" s="194"/>
      <c r="G21" s="250"/>
      <c r="H21" s="113" t="s">
        <v>80</v>
      </c>
      <c r="I21" s="82"/>
      <c r="J21" s="30"/>
      <c r="K21" s="6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4"/>
      <c r="B22" s="215"/>
      <c r="C22" s="262"/>
      <c r="D22" s="193" t="s">
        <v>274</v>
      </c>
      <c r="E22" s="194"/>
      <c r="F22" s="194"/>
      <c r="G22" s="250"/>
      <c r="H22" s="113" t="s">
        <v>80</v>
      </c>
      <c r="I22" s="82"/>
      <c r="J22" s="30"/>
      <c r="K22" s="69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3.5" customHeight="1">
      <c r="A23" s="204"/>
      <c r="B23" s="215"/>
      <c r="C23" s="262"/>
      <c r="D23" s="193" t="s">
        <v>122</v>
      </c>
      <c r="E23" s="194"/>
      <c r="F23" s="194"/>
      <c r="G23" s="250"/>
      <c r="H23" s="113" t="s">
        <v>80</v>
      </c>
      <c r="I23" s="82"/>
      <c r="J23" s="30"/>
      <c r="K23" s="69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1"/>
    </row>
    <row r="24" spans="1:32" s="17" customFormat="1" ht="13.5" customHeight="1">
      <c r="A24" s="204"/>
      <c r="B24" s="215"/>
      <c r="C24" s="262"/>
      <c r="D24" s="191" t="s">
        <v>123</v>
      </c>
      <c r="E24" s="192"/>
      <c r="F24" s="192"/>
      <c r="G24" s="288"/>
      <c r="H24" s="113" t="s">
        <v>80</v>
      </c>
      <c r="I24" s="82"/>
      <c r="J24" s="30"/>
      <c r="K24" s="69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3.5" customHeight="1">
      <c r="A25" s="204"/>
      <c r="B25" s="215"/>
      <c r="C25" s="211" t="s">
        <v>124</v>
      </c>
      <c r="D25" s="214"/>
      <c r="E25" s="214"/>
      <c r="F25" s="214"/>
      <c r="G25" s="280"/>
      <c r="H25" s="113"/>
      <c r="I25" s="82"/>
      <c r="J25" s="30"/>
      <c r="K25" s="69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13.5" customHeight="1">
      <c r="A26" s="204"/>
      <c r="B26" s="215"/>
      <c r="C26" s="261"/>
      <c r="D26" s="194" t="s">
        <v>125</v>
      </c>
      <c r="E26" s="194"/>
      <c r="F26" s="194"/>
      <c r="G26" s="250"/>
      <c r="H26" s="114" t="s">
        <v>80</v>
      </c>
      <c r="I26" s="111"/>
      <c r="J26" s="30"/>
      <c r="K26" s="69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1"/>
    </row>
    <row r="27" spans="1:32" s="17" customFormat="1" ht="13.5" customHeight="1" thickBot="1">
      <c r="A27" s="204"/>
      <c r="B27" s="251"/>
      <c r="C27" s="281"/>
      <c r="D27" s="194" t="s">
        <v>99</v>
      </c>
      <c r="E27" s="194"/>
      <c r="F27" s="194"/>
      <c r="G27" s="250"/>
      <c r="H27" s="106"/>
      <c r="I27" s="23"/>
      <c r="J27" s="30"/>
      <c r="K27" s="69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1"/>
    </row>
    <row r="28" spans="1:32" s="17" customFormat="1" ht="24" customHeight="1">
      <c r="A28" s="195" t="s">
        <v>47</v>
      </c>
      <c r="B28" s="286"/>
      <c r="C28" s="198"/>
      <c r="D28" s="198"/>
      <c r="E28" s="198"/>
      <c r="F28" s="199"/>
      <c r="G28" s="35" t="s">
        <v>36</v>
      </c>
      <c r="H28" s="37" t="s">
        <v>81</v>
      </c>
      <c r="I28" s="37" t="s">
        <v>82</v>
      </c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8"/>
    </row>
    <row r="29" spans="1:32" s="17" customFormat="1" ht="27" customHeight="1">
      <c r="A29" s="196"/>
      <c r="B29" s="200"/>
      <c r="C29" s="201"/>
      <c r="D29" s="201"/>
      <c r="E29" s="201"/>
      <c r="F29" s="202"/>
      <c r="G29" s="39" t="s">
        <v>37</v>
      </c>
      <c r="H29" s="40" t="s">
        <v>261</v>
      </c>
      <c r="I29" s="40" t="s">
        <v>261</v>
      </c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42"/>
    </row>
    <row r="30" spans="1:32" s="17" customFormat="1" ht="27" customHeight="1">
      <c r="A30" s="196"/>
      <c r="B30" s="200"/>
      <c r="C30" s="201"/>
      <c r="D30" s="201"/>
      <c r="E30" s="201"/>
      <c r="F30" s="202"/>
      <c r="G30" s="39" t="s">
        <v>38</v>
      </c>
      <c r="H30" s="43">
        <v>43699</v>
      </c>
      <c r="I30" s="43">
        <v>43699</v>
      </c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5"/>
    </row>
    <row r="31" spans="1:32" s="17" customFormat="1" ht="24.75" customHeight="1">
      <c r="A31" s="196"/>
      <c r="B31" s="200" t="s">
        <v>83</v>
      </c>
      <c r="C31" s="201"/>
      <c r="D31" s="201"/>
      <c r="E31" s="201"/>
      <c r="F31" s="202"/>
      <c r="G31" s="46" t="s">
        <v>1</v>
      </c>
      <c r="H31" s="40" t="s">
        <v>262</v>
      </c>
      <c r="I31" s="74" t="s">
        <v>262</v>
      </c>
      <c r="J31" s="74"/>
      <c r="K31" s="74"/>
      <c r="L31" s="74"/>
      <c r="M31" s="74"/>
      <c r="N31" s="70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42"/>
    </row>
    <row r="32" spans="1:32" s="17" customFormat="1" ht="24.75" customHeight="1">
      <c r="A32" s="235" t="s">
        <v>48</v>
      </c>
      <c r="B32" s="237" t="s">
        <v>40</v>
      </c>
      <c r="C32" s="237"/>
      <c r="D32" s="237"/>
      <c r="E32" s="237"/>
      <c r="F32" s="238" t="str">
        <f>GetBugSheetName()</f>
        <v>Summary_</v>
      </c>
      <c r="G32" s="239"/>
      <c r="H32" s="60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4"/>
    </row>
    <row r="33" spans="1:32" s="17" customFormat="1" ht="36" customHeight="1" thickBot="1">
      <c r="A33" s="236"/>
      <c r="B33" s="223" t="s">
        <v>30</v>
      </c>
      <c r="C33" s="224"/>
      <c r="D33" s="224"/>
      <c r="E33" s="225"/>
      <c r="F33" s="223"/>
      <c r="G33" s="240"/>
      <c r="H33" s="6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tr">
        <f t="shared" ref="S33:AF33" si="1">IF(S32="","",(SUM(LEN(S32)-LEN(SUBSTITUTE(S32,",","")))/LEN(",")) + 1 )</f>
        <v/>
      </c>
      <c r="T33" s="55" t="str">
        <f t="shared" si="1"/>
        <v/>
      </c>
      <c r="U33" s="55" t="str">
        <f t="shared" si="1"/>
        <v/>
      </c>
      <c r="V33" s="55" t="str">
        <f t="shared" si="1"/>
        <v/>
      </c>
      <c r="W33" s="55" t="str">
        <f t="shared" si="1"/>
        <v/>
      </c>
      <c r="X33" s="55" t="str">
        <f t="shared" si="1"/>
        <v/>
      </c>
      <c r="Y33" s="55" t="str">
        <f t="shared" si="1"/>
        <v/>
      </c>
      <c r="Z33" s="55" t="str">
        <f t="shared" si="1"/>
        <v/>
      </c>
      <c r="AA33" s="55" t="str">
        <f t="shared" si="1"/>
        <v/>
      </c>
      <c r="AB33" s="55" t="str">
        <f t="shared" si="1"/>
        <v/>
      </c>
      <c r="AC33" s="55" t="str">
        <f t="shared" si="1"/>
        <v/>
      </c>
      <c r="AD33" s="55" t="str">
        <f t="shared" si="1"/>
        <v/>
      </c>
      <c r="AE33" s="55" t="str">
        <f t="shared" si="1"/>
        <v/>
      </c>
      <c r="AF33" s="56" t="str">
        <f t="shared" si="1"/>
        <v/>
      </c>
    </row>
    <row r="34" spans="1:32" s="17" customFormat="1">
      <c r="H34" s="47"/>
      <c r="I34" s="47"/>
      <c r="J34" s="47"/>
      <c r="K34" s="47"/>
      <c r="L34" s="47"/>
      <c r="M34" s="47"/>
      <c r="N34" s="48"/>
      <c r="O34" s="49"/>
      <c r="P34" s="47"/>
      <c r="Q34" s="47"/>
      <c r="R34" s="47"/>
      <c r="S34" s="47"/>
      <c r="T34" s="47"/>
      <c r="U34" s="47"/>
      <c r="V34" s="47"/>
    </row>
  </sheetData>
  <sheetProtection insertRows="0"/>
  <protectedRanges>
    <protectedRange sqref="I4:AF4 H8:AF27 J5:AF7" name="Range2_1_1"/>
    <protectedRange sqref="C26:G27" name="Range2_1_12"/>
    <protectedRange sqref="C12:G24" name="Range2_1_30"/>
    <protectedRange sqref="H27:I27 I9:I10 H9 H7:I8" name="Range2_1_1_1"/>
    <protectedRange sqref="I26" name="Range2_1_6_1"/>
    <protectedRange sqref="H5:I6" name="Range2_1_6_1_1"/>
    <protectedRange sqref="H28:I28" name="Range3_1_1_1"/>
    <protectedRange sqref="B1:O1 P2 T1 B2:E2" name="Range1_1_1"/>
    <protectedRange sqref="P2 AC2:AF2" name="Range1_1_1_1"/>
    <protectedRange sqref="AC1:AF1" name="Range1_1_1_2"/>
  </protectedRanges>
  <mergeCells count="52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9:G9"/>
    <mergeCell ref="C10:G10"/>
    <mergeCell ref="A4:A8"/>
    <mergeCell ref="B2:E2"/>
    <mergeCell ref="F2:H2"/>
    <mergeCell ref="B10:B27"/>
    <mergeCell ref="C6:G6"/>
    <mergeCell ref="B5:G5"/>
    <mergeCell ref="C7:G7"/>
    <mergeCell ref="D24:G24"/>
    <mergeCell ref="C25:G25"/>
    <mergeCell ref="C26:C27"/>
    <mergeCell ref="D26:G26"/>
    <mergeCell ref="D27:G27"/>
    <mergeCell ref="D13:G13"/>
    <mergeCell ref="D14:G14"/>
    <mergeCell ref="A32:A33"/>
    <mergeCell ref="B32:E32"/>
    <mergeCell ref="F32:G32"/>
    <mergeCell ref="B33:E33"/>
    <mergeCell ref="F33:G33"/>
    <mergeCell ref="D23:G23"/>
    <mergeCell ref="B6:B8"/>
    <mergeCell ref="B4:G4"/>
    <mergeCell ref="A28:A31"/>
    <mergeCell ref="B28:F28"/>
    <mergeCell ref="B29:F29"/>
    <mergeCell ref="B30:F30"/>
    <mergeCell ref="B31:F31"/>
    <mergeCell ref="C12:G12"/>
    <mergeCell ref="C13:C24"/>
    <mergeCell ref="D15:G15"/>
    <mergeCell ref="D16:G16"/>
    <mergeCell ref="D17:G17"/>
    <mergeCell ref="D11:G11"/>
    <mergeCell ref="C8:G8"/>
    <mergeCell ref="A9:A27"/>
    <mergeCell ref="D18:G18"/>
    <mergeCell ref="D19:G19"/>
    <mergeCell ref="D20:G20"/>
    <mergeCell ref="D21:G21"/>
    <mergeCell ref="D22:G22"/>
  </mergeCells>
  <conditionalFormatting sqref="H3:AF33">
    <cfRule type="expression" dxfId="25" priority="7" stopIfTrue="1">
      <formula>H$31="NA"</formula>
    </cfRule>
    <cfRule type="expression" dxfId="24" priority="8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28"/>
    <dataValidation allowBlank="1" showInputMessage="1" showErrorMessage="1" promptTitle="Enter" prompt="Name of the person who performed the test" sqref="G29"/>
    <dataValidation allowBlank="1" showInputMessage="1" showErrorMessage="1" promptTitle="Testing Date" prompt="Date on which test was performed in yyyy/mm/dd format" sqref="G3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1"/>
    <dataValidation allowBlank="1" showInputMessage="1" showErrorMessage="1" promptTitle="Bug ID" prompt="Unique ID throughout the project._x000a_For every Bug found during Test as well as Re-Test, a new Bug ID needs to be entered here (as a comma seperated value)" sqref="B32:E32"/>
    <dataValidation allowBlank="1" showInputMessage="1" showErrorMessage="1" promptTitle="PCL sheet name" prompt=" " sqref="F32:G32"/>
    <dataValidation type="list" allowBlank="1" showInputMessage="1" showErrorMessage="1" sqref="H31:AF31">
      <formula1>"OK, NG, NA, PT"</formula1>
    </dataValidation>
    <dataValidation type="list" allowBlank="1" showInputMessage="1" showErrorMessage="1" sqref="H28:AF28">
      <formula1>"N, A, B"</formula1>
    </dataValidation>
    <dataValidation allowBlank="1" showInputMessage="1" showErrorMessage="1" promptTitle="Check points" prompt="that need / need not be executed" sqref="A9:A27"/>
    <dataValidation allowBlank="1" showInputMessage="1" showErrorMessage="1" promptTitle="Input conditions" prompt="that need to be checked." sqref="A4:A8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1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AC4" sqref="AC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129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247</v>
      </c>
      <c r="AB2" s="233"/>
      <c r="AC2" s="220" t="s">
        <v>253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IF(COUNTA(H4:H11)&gt;0,1,"")</f>
        <v>1</v>
      </c>
      <c r="I3" s="12">
        <f>IF(COUNTA(I4:I11)&gt;0,IF(H3&gt;0,H3+1,""),"")</f>
        <v>2</v>
      </c>
      <c r="J3" s="12"/>
      <c r="K3" s="12" t="str">
        <f t="shared" ref="K3:AF3" si="0">IF(COUNTA(K4:K11)&gt;0,IF(J3&gt;0,J3+1,""),"")</f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89" t="s">
        <v>250</v>
      </c>
      <c r="C4" s="289"/>
      <c r="D4" s="289"/>
      <c r="E4" s="289"/>
      <c r="F4" s="289"/>
      <c r="G4" s="29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129</v>
      </c>
      <c r="C5" s="291"/>
      <c r="D5" s="291"/>
      <c r="E5" s="291"/>
      <c r="F5" s="291"/>
      <c r="G5" s="29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96"/>
      <c r="C6" s="296" t="s">
        <v>130</v>
      </c>
      <c r="D6" s="296"/>
      <c r="E6" s="296"/>
      <c r="F6" s="296"/>
      <c r="G6" s="312"/>
      <c r="H6" s="18" t="s">
        <v>80</v>
      </c>
      <c r="I6" s="19"/>
      <c r="J6" s="117"/>
      <c r="K6" s="19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 thickBot="1">
      <c r="A7" s="210"/>
      <c r="B7" s="309" t="s">
        <v>65</v>
      </c>
      <c r="C7" s="310"/>
      <c r="D7" s="310"/>
      <c r="E7" s="310"/>
      <c r="F7" s="310"/>
      <c r="G7" s="311"/>
      <c r="H7" s="22"/>
      <c r="I7" s="23" t="s">
        <v>80</v>
      </c>
      <c r="J7" s="88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3" t="s">
        <v>46</v>
      </c>
      <c r="B8" s="206" t="s">
        <v>25</v>
      </c>
      <c r="C8" s="207"/>
      <c r="D8" s="207"/>
      <c r="E8" s="207"/>
      <c r="F8" s="207"/>
      <c r="G8" s="207"/>
      <c r="H8" s="25"/>
      <c r="I8" s="26"/>
      <c r="J8" s="132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04"/>
      <c r="B9" s="254"/>
      <c r="C9" s="193" t="s">
        <v>131</v>
      </c>
      <c r="D9" s="194"/>
      <c r="E9" s="194"/>
      <c r="F9" s="194"/>
      <c r="G9" s="250"/>
      <c r="H9" s="86" t="s">
        <v>80</v>
      </c>
      <c r="I9" s="87"/>
      <c r="J9" s="104"/>
      <c r="K9" s="87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204"/>
      <c r="B10" s="251"/>
      <c r="C10" s="193" t="s">
        <v>132</v>
      </c>
      <c r="D10" s="194"/>
      <c r="E10" s="194"/>
      <c r="F10" s="194"/>
      <c r="G10" s="250"/>
      <c r="H10" s="22"/>
      <c r="I10" s="23" t="s">
        <v>80</v>
      </c>
      <c r="J10" s="88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195" t="s">
        <v>47</v>
      </c>
      <c r="B11" s="197"/>
      <c r="C11" s="198"/>
      <c r="D11" s="198"/>
      <c r="E11" s="198"/>
      <c r="F11" s="199"/>
      <c r="G11" s="35" t="s">
        <v>36</v>
      </c>
      <c r="H11" s="36" t="s">
        <v>81</v>
      </c>
      <c r="I11" s="37" t="s">
        <v>82</v>
      </c>
      <c r="J11" s="133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96"/>
      <c r="B12" s="200"/>
      <c r="C12" s="201"/>
      <c r="D12" s="201"/>
      <c r="E12" s="201"/>
      <c r="F12" s="202"/>
      <c r="G12" s="39" t="s">
        <v>37</v>
      </c>
      <c r="H12" s="40" t="s">
        <v>261</v>
      </c>
      <c r="I12" s="40" t="s">
        <v>261</v>
      </c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42"/>
    </row>
    <row r="13" spans="1:32" s="17" customFormat="1" ht="27" customHeight="1">
      <c r="A13" s="196"/>
      <c r="B13" s="200"/>
      <c r="C13" s="201"/>
      <c r="D13" s="201"/>
      <c r="E13" s="201"/>
      <c r="F13" s="202"/>
      <c r="G13" s="39" t="s">
        <v>38</v>
      </c>
      <c r="H13" s="43">
        <v>43699</v>
      </c>
      <c r="I13" s="43">
        <v>43699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96"/>
      <c r="B14" s="200" t="s">
        <v>83</v>
      </c>
      <c r="C14" s="201"/>
      <c r="D14" s="201"/>
      <c r="E14" s="201"/>
      <c r="F14" s="202"/>
      <c r="G14" s="46" t="s">
        <v>1</v>
      </c>
      <c r="H14" s="40" t="s">
        <v>262</v>
      </c>
      <c r="I14" s="134" t="s">
        <v>262</v>
      </c>
      <c r="J14" s="74"/>
      <c r="K14" s="74"/>
      <c r="L14" s="74"/>
      <c r="M14" s="74"/>
      <c r="N14" s="70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42"/>
    </row>
    <row r="15" spans="1:32" s="17" customFormat="1" ht="24.75" customHeight="1">
      <c r="A15" s="235" t="s">
        <v>48</v>
      </c>
      <c r="B15" s="237" t="s">
        <v>40</v>
      </c>
      <c r="C15" s="237"/>
      <c r="D15" s="237"/>
      <c r="E15" s="237"/>
      <c r="F15" s="238" t="str">
        <f>GetBugSheetName()</f>
        <v>Summary_</v>
      </c>
      <c r="G15" s="239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36"/>
      <c r="B16" s="223" t="s">
        <v>30</v>
      </c>
      <c r="C16" s="224"/>
      <c r="D16" s="224"/>
      <c r="E16" s="225"/>
      <c r="F16" s="223"/>
      <c r="G16" s="240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8:G8 B9:B10" name="Range2_1"/>
    <protectedRange sqref="H15:AF15 L11:AF11 J12:AF14" name="Range3_1_1"/>
    <protectedRange sqref="H4:AF5 L6:AF10" name="Range2_1_1"/>
    <protectedRange sqref="B7 D5:G7 B5:C6" name="Range2_1_2"/>
    <protectedRange sqref="B4:G4" name="Range2_1_2_1"/>
    <protectedRange sqref="C9:G10" name="Range2_1_3"/>
    <protectedRange sqref="B1:O1 P2 T1 B2:E2" name="Range1_1_1_3"/>
    <protectedRange sqref="P2 AC2:AF2" name="Range1_1_1_1_1"/>
    <protectedRange sqref="AC1:AF1" name="Range1_1_1_2_1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5:A16"/>
    <mergeCell ref="B15:E15"/>
    <mergeCell ref="F15:G15"/>
    <mergeCell ref="B16:E16"/>
    <mergeCell ref="F16:G16"/>
    <mergeCell ref="B7:G7"/>
    <mergeCell ref="B9:B10"/>
    <mergeCell ref="A11:A14"/>
    <mergeCell ref="B11:F11"/>
    <mergeCell ref="B12:F12"/>
    <mergeCell ref="B13:F13"/>
    <mergeCell ref="B14:F14"/>
    <mergeCell ref="A8:A10"/>
    <mergeCell ref="B8:G8"/>
    <mergeCell ref="C9:G9"/>
    <mergeCell ref="C10:G10"/>
    <mergeCell ref="A4:A7"/>
    <mergeCell ref="B4:G4"/>
    <mergeCell ref="B5:G5"/>
    <mergeCell ref="C6:G6"/>
  </mergeCells>
  <conditionalFormatting sqref="H3:AF11 H15:AF16 J12:AF14">
    <cfRule type="expression" dxfId="23" priority="7" stopIfTrue="1">
      <formula>H$14="NA"</formula>
    </cfRule>
    <cfRule type="expression" dxfId="22" priority="8" stopIfTrue="1">
      <formula>H$14="NG"</formula>
    </cfRule>
  </conditionalFormatting>
  <conditionalFormatting sqref="H12:I14">
    <cfRule type="expression" dxfId="1" priority="1" stopIfTrue="1">
      <formula>H$31="NA"</formula>
    </cfRule>
    <cfRule type="expression" dxfId="0" priority="2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  <dataValidation allowBlank="1" showInputMessage="1" showErrorMessage="1" promptTitle="Check points" prompt="that need / need not be executed" sqref="A8:A10"/>
    <dataValidation allowBlank="1" showInputMessage="1" showErrorMessage="1" promptTitle="Input conditions" prompt="that need to be checked." sqref="A4:A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F74"/>
  <sheetViews>
    <sheetView view="pageBreakPreview" zoomScale="85" zoomScaleNormal="70" workbookViewId="0">
      <pane xSplit="7" ySplit="3" topLeftCell="H21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AE16" sqref="AE1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112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196</v>
      </c>
      <c r="AB2" s="233"/>
      <c r="AC2" s="220" t="s">
        <v>254</v>
      </c>
      <c r="AD2" s="221"/>
      <c r="AE2" s="221"/>
      <c r="AF2" s="234"/>
    </row>
    <row r="3" spans="1:32" ht="37.5" customHeight="1" thickBot="1">
      <c r="A3" s="66" t="s">
        <v>195</v>
      </c>
      <c r="B3" s="10"/>
      <c r="C3" s="10"/>
      <c r="D3" s="10"/>
      <c r="E3" s="10"/>
      <c r="F3" s="10"/>
      <c r="G3" s="65" t="s">
        <v>194</v>
      </c>
      <c r="H3" s="11">
        <f>IF(COUNTA(H4:H68)&gt;0,1,"")</f>
        <v>1</v>
      </c>
      <c r="I3" s="12">
        <f t="shared" ref="I3:AF3" si="0">IF(COUNTA(I4:I68)&gt;0,IF(H3&gt;0,H3+1,""),"")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>
        <f t="shared" si="0"/>
        <v>25</v>
      </c>
    </row>
    <row r="4" spans="1:32" s="17" customFormat="1" ht="13.5" customHeight="1">
      <c r="A4" s="209" t="s">
        <v>193</v>
      </c>
      <c r="B4" s="207" t="s">
        <v>192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191</v>
      </c>
      <c r="C5" s="212"/>
      <c r="D5" s="212"/>
      <c r="E5" s="212"/>
      <c r="F5" s="212"/>
      <c r="G5" s="241"/>
      <c r="H5" s="18" t="s">
        <v>80</v>
      </c>
      <c r="I5" s="19" t="s">
        <v>80</v>
      </c>
      <c r="J5" s="19" t="s">
        <v>80</v>
      </c>
      <c r="K5" s="19" t="s">
        <v>80</v>
      </c>
      <c r="L5" s="19" t="s">
        <v>80</v>
      </c>
      <c r="M5" s="19" t="s">
        <v>80</v>
      </c>
      <c r="N5" s="19" t="s">
        <v>80</v>
      </c>
      <c r="O5" s="19" t="s">
        <v>80</v>
      </c>
      <c r="P5" s="19" t="s">
        <v>80</v>
      </c>
      <c r="Q5" s="19" t="s">
        <v>80</v>
      </c>
      <c r="R5" s="19" t="s">
        <v>80</v>
      </c>
      <c r="S5" s="19" t="s">
        <v>80</v>
      </c>
      <c r="T5" s="19" t="s">
        <v>80</v>
      </c>
      <c r="U5" s="19" t="s">
        <v>80</v>
      </c>
      <c r="V5" s="19" t="s">
        <v>80</v>
      </c>
      <c r="W5" s="19" t="s">
        <v>80</v>
      </c>
      <c r="X5" s="19" t="s">
        <v>80</v>
      </c>
      <c r="Y5" s="19" t="s">
        <v>80</v>
      </c>
      <c r="Z5" s="19" t="s">
        <v>80</v>
      </c>
      <c r="AA5" s="19" t="s">
        <v>80</v>
      </c>
      <c r="AB5" s="19" t="s">
        <v>80</v>
      </c>
      <c r="AC5" s="19" t="s">
        <v>80</v>
      </c>
      <c r="AD5" s="19" t="s">
        <v>80</v>
      </c>
      <c r="AE5" s="76"/>
      <c r="AF5" s="116"/>
    </row>
    <row r="6" spans="1:32" s="17" customFormat="1" ht="13.5" customHeight="1">
      <c r="A6" s="210"/>
      <c r="B6" s="77"/>
      <c r="C6" s="245" t="s">
        <v>190</v>
      </c>
      <c r="D6" s="245"/>
      <c r="E6" s="245"/>
      <c r="F6" s="245"/>
      <c r="G6" s="265"/>
      <c r="H6" s="18" t="s">
        <v>80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76"/>
      <c r="AF6" s="116"/>
    </row>
    <row r="7" spans="1:32" s="17" customFormat="1" ht="13.5" customHeight="1">
      <c r="A7" s="210"/>
      <c r="B7" s="77"/>
      <c r="C7" s="245" t="s">
        <v>189</v>
      </c>
      <c r="D7" s="245"/>
      <c r="E7" s="245"/>
      <c r="F7" s="245"/>
      <c r="G7" s="265"/>
      <c r="H7" s="18"/>
      <c r="I7" s="19" t="s">
        <v>80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76"/>
      <c r="AF7" s="116"/>
    </row>
    <row r="8" spans="1:32" s="17" customFormat="1" ht="13.5" customHeight="1">
      <c r="A8" s="210"/>
      <c r="B8" s="215"/>
      <c r="C8" s="211" t="s">
        <v>188</v>
      </c>
      <c r="D8" s="214"/>
      <c r="E8" s="214"/>
      <c r="F8" s="214"/>
      <c r="G8" s="280"/>
      <c r="H8" s="22"/>
      <c r="I8" s="23"/>
      <c r="J8" s="23" t="s">
        <v>80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76"/>
      <c r="AF8" s="116"/>
    </row>
    <row r="9" spans="1:32" s="17" customFormat="1" ht="13.5" customHeight="1">
      <c r="A9" s="210"/>
      <c r="B9" s="215"/>
      <c r="C9" s="245" t="s">
        <v>187</v>
      </c>
      <c r="D9" s="245"/>
      <c r="E9" s="245"/>
      <c r="F9" s="245"/>
      <c r="G9" s="265"/>
      <c r="H9" s="22"/>
      <c r="I9" s="23"/>
      <c r="J9" s="23"/>
      <c r="K9" s="23" t="s">
        <v>80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76"/>
      <c r="AF9" s="116"/>
    </row>
    <row r="10" spans="1:32" s="17" customFormat="1" ht="13.5" customHeight="1">
      <c r="A10" s="210"/>
      <c r="B10" s="215"/>
      <c r="C10" s="245" t="s">
        <v>186</v>
      </c>
      <c r="D10" s="245"/>
      <c r="E10" s="245"/>
      <c r="F10" s="245"/>
      <c r="G10" s="265"/>
      <c r="H10" s="22"/>
      <c r="I10" s="23"/>
      <c r="J10" s="23"/>
      <c r="K10" s="23"/>
      <c r="L10" s="23" t="s">
        <v>80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76"/>
      <c r="AF10" s="116"/>
    </row>
    <row r="11" spans="1:32" s="17" customFormat="1" ht="13.5" customHeight="1">
      <c r="A11" s="210"/>
      <c r="B11" s="215"/>
      <c r="C11" s="245" t="s">
        <v>185</v>
      </c>
      <c r="D11" s="245"/>
      <c r="E11" s="245"/>
      <c r="F11" s="245"/>
      <c r="G11" s="265"/>
      <c r="H11" s="22"/>
      <c r="I11" s="23"/>
      <c r="J11" s="23"/>
      <c r="K11" s="23"/>
      <c r="L11" s="23"/>
      <c r="M11" s="23" t="s">
        <v>80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76"/>
      <c r="AF11" s="116"/>
    </row>
    <row r="12" spans="1:32" s="17" customFormat="1" ht="13.5" customHeight="1">
      <c r="A12" s="210"/>
      <c r="B12" s="215"/>
      <c r="C12" s="245" t="s">
        <v>184</v>
      </c>
      <c r="D12" s="245"/>
      <c r="E12" s="245"/>
      <c r="F12" s="245"/>
      <c r="G12" s="265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76"/>
      <c r="AF12" s="116"/>
    </row>
    <row r="13" spans="1:32" s="17" customFormat="1" ht="13.5" customHeight="1">
      <c r="A13" s="210"/>
      <c r="B13" s="215"/>
      <c r="C13" s="300"/>
      <c r="D13" s="245" t="s">
        <v>183</v>
      </c>
      <c r="E13" s="245"/>
      <c r="F13" s="245"/>
      <c r="G13" s="265"/>
      <c r="H13" s="22"/>
      <c r="I13" s="23"/>
      <c r="J13" s="23"/>
      <c r="K13" s="23"/>
      <c r="L13" s="23"/>
      <c r="M13" s="23"/>
      <c r="N13" s="23" t="s">
        <v>80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76"/>
      <c r="AF13" s="116"/>
    </row>
    <row r="14" spans="1:32" s="17" customFormat="1" ht="13.5" customHeight="1">
      <c r="A14" s="210"/>
      <c r="B14" s="215"/>
      <c r="C14" s="300"/>
      <c r="D14" s="245" t="s">
        <v>182</v>
      </c>
      <c r="E14" s="245"/>
      <c r="F14" s="245"/>
      <c r="G14" s="265"/>
      <c r="H14" s="22"/>
      <c r="I14" s="23"/>
      <c r="J14" s="23"/>
      <c r="K14" s="23"/>
      <c r="L14" s="23"/>
      <c r="M14" s="23"/>
      <c r="N14" s="23"/>
      <c r="O14" s="23" t="s">
        <v>80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76"/>
      <c r="AF14" s="116"/>
    </row>
    <row r="15" spans="1:32" s="17" customFormat="1" ht="13.5" customHeight="1">
      <c r="A15" s="210"/>
      <c r="B15" s="215"/>
      <c r="C15" s="245" t="s">
        <v>181</v>
      </c>
      <c r="D15" s="245"/>
      <c r="E15" s="245"/>
      <c r="F15" s="245"/>
      <c r="G15" s="265"/>
      <c r="H15" s="22"/>
      <c r="I15" s="23"/>
      <c r="J15" s="23"/>
      <c r="K15" s="23"/>
      <c r="L15" s="23"/>
      <c r="M15" s="23"/>
      <c r="N15" s="23"/>
      <c r="O15" s="23"/>
      <c r="P15" s="23" t="s">
        <v>80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76"/>
      <c r="AF15" s="116"/>
    </row>
    <row r="16" spans="1:32" s="17" customFormat="1" ht="13.5" customHeight="1">
      <c r="A16" s="210"/>
      <c r="B16" s="215"/>
      <c r="C16" s="245" t="s">
        <v>180</v>
      </c>
      <c r="D16" s="245"/>
      <c r="E16" s="245"/>
      <c r="F16" s="245"/>
      <c r="G16" s="265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76"/>
      <c r="AF16" s="116"/>
    </row>
    <row r="17" spans="1:32" s="17" customFormat="1" ht="13.5" customHeight="1">
      <c r="A17" s="210"/>
      <c r="B17" s="215"/>
      <c r="C17" s="245"/>
      <c r="D17" s="245" t="s">
        <v>179</v>
      </c>
      <c r="E17" s="245"/>
      <c r="F17" s="245"/>
      <c r="G17" s="265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80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76"/>
      <c r="AF17" s="116"/>
    </row>
    <row r="18" spans="1:32" s="17" customFormat="1" ht="13.5" customHeight="1">
      <c r="A18" s="210"/>
      <c r="B18" s="215"/>
      <c r="C18" s="245"/>
      <c r="D18" s="245" t="s">
        <v>178</v>
      </c>
      <c r="E18" s="245"/>
      <c r="F18" s="245"/>
      <c r="G18" s="265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80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76"/>
      <c r="AF18" s="116"/>
    </row>
    <row r="19" spans="1:32" s="17" customFormat="1" ht="13.5" customHeight="1">
      <c r="A19" s="210"/>
      <c r="B19" s="215"/>
      <c r="C19" s="245"/>
      <c r="D19" s="245" t="s">
        <v>177</v>
      </c>
      <c r="E19" s="245"/>
      <c r="F19" s="245"/>
      <c r="G19" s="265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80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76"/>
      <c r="AF19" s="116"/>
    </row>
    <row r="20" spans="1:32" s="17" customFormat="1" ht="13.5" customHeight="1">
      <c r="A20" s="210"/>
      <c r="B20" s="215"/>
      <c r="C20" s="245" t="s">
        <v>176</v>
      </c>
      <c r="D20" s="245"/>
      <c r="E20" s="245"/>
      <c r="F20" s="245"/>
      <c r="G20" s="265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80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76"/>
      <c r="AF20" s="116"/>
    </row>
    <row r="21" spans="1:32" s="17" customFormat="1" ht="13.5" customHeight="1">
      <c r="A21" s="210"/>
      <c r="B21" s="215"/>
      <c r="C21" s="245" t="s">
        <v>175</v>
      </c>
      <c r="D21" s="245"/>
      <c r="E21" s="245"/>
      <c r="F21" s="245"/>
      <c r="G21" s="265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76"/>
      <c r="AF21" s="116"/>
    </row>
    <row r="22" spans="1:32" s="17" customFormat="1" ht="13.5" customHeight="1">
      <c r="A22" s="210"/>
      <c r="B22" s="215"/>
      <c r="C22" s="300"/>
      <c r="D22" s="313" t="s">
        <v>174</v>
      </c>
      <c r="E22" s="245"/>
      <c r="F22" s="245"/>
      <c r="G22" s="265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80</v>
      </c>
      <c r="V22" s="23"/>
      <c r="W22" s="23"/>
      <c r="X22" s="23"/>
      <c r="Y22" s="23"/>
      <c r="Z22" s="23"/>
      <c r="AA22" s="23"/>
      <c r="AB22" s="23"/>
      <c r="AC22" s="23"/>
      <c r="AD22" s="23"/>
      <c r="AE22" s="76"/>
      <c r="AF22" s="116"/>
    </row>
    <row r="23" spans="1:32" s="17" customFormat="1" ht="13.5" customHeight="1">
      <c r="A23" s="210"/>
      <c r="B23" s="215"/>
      <c r="C23" s="300"/>
      <c r="D23" s="313" t="s">
        <v>173</v>
      </c>
      <c r="E23" s="245"/>
      <c r="F23" s="245"/>
      <c r="G23" s="265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80</v>
      </c>
      <c r="W23" s="23"/>
      <c r="X23" s="23"/>
      <c r="Y23" s="23"/>
      <c r="Z23" s="23"/>
      <c r="AA23" s="23"/>
      <c r="AB23" s="23"/>
      <c r="AC23" s="23"/>
      <c r="AD23" s="23"/>
      <c r="AE23" s="76"/>
      <c r="AF23" s="116"/>
    </row>
    <row r="24" spans="1:32" s="17" customFormat="1" ht="13.5" customHeight="1">
      <c r="A24" s="210"/>
      <c r="B24" s="215"/>
      <c r="C24" s="300"/>
      <c r="D24" s="313" t="s">
        <v>172</v>
      </c>
      <c r="E24" s="245"/>
      <c r="F24" s="245"/>
      <c r="G24" s="265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80</v>
      </c>
      <c r="X24" s="23"/>
      <c r="Y24" s="23"/>
      <c r="Z24" s="23"/>
      <c r="AA24" s="23"/>
      <c r="AB24" s="23"/>
      <c r="AC24" s="23"/>
      <c r="AD24" s="23"/>
      <c r="AE24" s="76"/>
      <c r="AF24" s="116"/>
    </row>
    <row r="25" spans="1:32" s="17" customFormat="1" ht="13.5" customHeight="1">
      <c r="A25" s="210"/>
      <c r="B25" s="215"/>
      <c r="C25" s="300"/>
      <c r="D25" s="313" t="s">
        <v>171</v>
      </c>
      <c r="E25" s="245"/>
      <c r="F25" s="245"/>
      <c r="G25" s="265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80</v>
      </c>
      <c r="Y25" s="23"/>
      <c r="Z25" s="23"/>
      <c r="AA25" s="23"/>
      <c r="AB25" s="23"/>
      <c r="AC25" s="23"/>
      <c r="AD25" s="23"/>
      <c r="AE25" s="76"/>
      <c r="AF25" s="116"/>
    </row>
    <row r="26" spans="1:32" s="17" customFormat="1" ht="13.5" customHeight="1">
      <c r="A26" s="210"/>
      <c r="B26" s="215"/>
      <c r="C26" s="300"/>
      <c r="D26" s="214" t="s">
        <v>170</v>
      </c>
      <c r="E26" s="214"/>
      <c r="F26" s="214"/>
      <c r="G26" s="280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80</v>
      </c>
      <c r="Z26" s="23"/>
      <c r="AA26" s="23"/>
      <c r="AB26" s="23"/>
      <c r="AC26" s="23"/>
      <c r="AD26" s="23"/>
      <c r="AE26" s="76"/>
      <c r="AF26" s="116"/>
    </row>
    <row r="27" spans="1:32" s="17" customFormat="1" ht="13.5" customHeight="1">
      <c r="A27" s="210"/>
      <c r="B27" s="215"/>
      <c r="C27" s="211" t="s">
        <v>204</v>
      </c>
      <c r="D27" s="214"/>
      <c r="E27" s="214"/>
      <c r="F27" s="214"/>
      <c r="G27" s="280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80</v>
      </c>
      <c r="AA27" s="23"/>
      <c r="AB27" s="23"/>
      <c r="AC27" s="23"/>
      <c r="AD27" s="23"/>
      <c r="AE27" s="76"/>
      <c r="AF27" s="116"/>
    </row>
    <row r="28" spans="1:32" s="17" customFormat="1" ht="13.5" customHeight="1">
      <c r="A28" s="210"/>
      <c r="B28" s="215"/>
      <c r="C28" s="211" t="s">
        <v>205</v>
      </c>
      <c r="D28" s="214"/>
      <c r="E28" s="214"/>
      <c r="F28" s="214"/>
      <c r="G28" s="280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80</v>
      </c>
      <c r="AB28" s="23"/>
      <c r="AC28" s="23"/>
      <c r="AD28" s="23"/>
      <c r="AE28" s="76"/>
      <c r="AF28" s="116"/>
    </row>
    <row r="29" spans="1:32" s="17" customFormat="1" ht="13.5" customHeight="1">
      <c r="A29" s="210"/>
      <c r="B29" s="215"/>
      <c r="C29" s="211" t="s">
        <v>206</v>
      </c>
      <c r="D29" s="214"/>
      <c r="E29" s="214"/>
      <c r="F29" s="214"/>
      <c r="G29" s="280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 t="s">
        <v>80</v>
      </c>
      <c r="AC29" s="23"/>
      <c r="AD29" s="23"/>
      <c r="AE29" s="76"/>
      <c r="AF29" s="116"/>
    </row>
    <row r="30" spans="1:32" s="17" customFormat="1" ht="13.5" customHeight="1">
      <c r="A30" s="210"/>
      <c r="B30" s="215"/>
      <c r="C30" s="211" t="s">
        <v>207</v>
      </c>
      <c r="D30" s="214"/>
      <c r="E30" s="214"/>
      <c r="F30" s="214"/>
      <c r="G30" s="280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 t="s">
        <v>80</v>
      </c>
      <c r="AD30" s="23"/>
      <c r="AE30" s="76"/>
      <c r="AF30" s="116"/>
    </row>
    <row r="31" spans="1:32" s="17" customFormat="1" ht="13.5" customHeight="1">
      <c r="A31" s="210"/>
      <c r="B31" s="215"/>
      <c r="C31" s="211" t="s">
        <v>146</v>
      </c>
      <c r="D31" s="214"/>
      <c r="E31" s="214"/>
      <c r="F31" s="214"/>
      <c r="G31" s="280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80</v>
      </c>
      <c r="AE31" s="76"/>
      <c r="AF31" s="116"/>
    </row>
    <row r="32" spans="1:32" s="17" customFormat="1" ht="13.5" customHeight="1">
      <c r="A32" s="210"/>
      <c r="B32" s="215"/>
      <c r="C32" s="211" t="s">
        <v>143</v>
      </c>
      <c r="D32" s="214"/>
      <c r="E32" s="214"/>
      <c r="F32" s="214"/>
      <c r="G32" s="280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76" t="s">
        <v>80</v>
      </c>
      <c r="AF32" s="116"/>
    </row>
    <row r="33" spans="1:32" s="17" customFormat="1" ht="13.5" customHeight="1">
      <c r="A33" s="210"/>
      <c r="B33" s="215"/>
      <c r="C33" s="245" t="s">
        <v>169</v>
      </c>
      <c r="D33" s="245"/>
      <c r="E33" s="245"/>
      <c r="F33" s="245"/>
      <c r="G33" s="265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76"/>
      <c r="AF33" s="116"/>
    </row>
    <row r="34" spans="1:32" s="17" customFormat="1" ht="13.5" customHeight="1">
      <c r="A34" s="210"/>
      <c r="B34" s="215"/>
      <c r="C34" s="300"/>
      <c r="D34" s="245" t="s">
        <v>168</v>
      </c>
      <c r="E34" s="245"/>
      <c r="F34" s="245"/>
      <c r="G34" s="265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76"/>
      <c r="AF34" s="116" t="s">
        <v>80</v>
      </c>
    </row>
    <row r="35" spans="1:32" s="17" customFormat="1" ht="13.5" customHeight="1">
      <c r="A35" s="210"/>
      <c r="B35" s="215"/>
      <c r="C35" s="300"/>
      <c r="D35" s="245" t="s">
        <v>111</v>
      </c>
      <c r="E35" s="245"/>
      <c r="F35" s="245"/>
      <c r="G35" s="265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76"/>
      <c r="AF35" s="116"/>
    </row>
    <row r="36" spans="1:32" s="17" customFormat="1" ht="13.5" customHeight="1" thickBot="1">
      <c r="A36" s="210"/>
      <c r="B36" s="309" t="s">
        <v>65</v>
      </c>
      <c r="C36" s="310"/>
      <c r="D36" s="310"/>
      <c r="E36" s="310"/>
      <c r="F36" s="310"/>
      <c r="G36" s="311"/>
      <c r="H36" s="22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3" t="s">
        <v>167</v>
      </c>
      <c r="B37" s="206" t="s">
        <v>166</v>
      </c>
      <c r="C37" s="207"/>
      <c r="D37" s="207"/>
      <c r="E37" s="207"/>
      <c r="F37" s="207"/>
      <c r="G37" s="207"/>
      <c r="H37" s="25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7"/>
    </row>
    <row r="38" spans="1:32" s="17" customFormat="1" ht="13.5" customHeight="1">
      <c r="A38" s="204"/>
      <c r="B38" s="300"/>
      <c r="C38" s="193" t="s">
        <v>165</v>
      </c>
      <c r="D38" s="194"/>
      <c r="E38" s="194"/>
      <c r="F38" s="194"/>
      <c r="G38" s="194"/>
      <c r="H38" s="22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87"/>
      <c r="AF38" s="115"/>
    </row>
    <row r="39" spans="1:32" s="17" customFormat="1" ht="13.5" customHeight="1">
      <c r="A39" s="204"/>
      <c r="B39" s="300"/>
      <c r="C39" s="261"/>
      <c r="D39" s="194" t="s">
        <v>68</v>
      </c>
      <c r="E39" s="194"/>
      <c r="F39" s="194"/>
      <c r="G39" s="250"/>
      <c r="H39" s="22" t="s">
        <v>80</v>
      </c>
      <c r="I39" s="23" t="s">
        <v>80</v>
      </c>
      <c r="J39" s="23" t="s">
        <v>80</v>
      </c>
      <c r="K39" s="23" t="s">
        <v>80</v>
      </c>
      <c r="L39" s="23" t="s">
        <v>80</v>
      </c>
      <c r="M39" s="23" t="s">
        <v>80</v>
      </c>
      <c r="N39" s="23" t="s">
        <v>80</v>
      </c>
      <c r="O39" s="23" t="s">
        <v>80</v>
      </c>
      <c r="P39" s="23" t="s">
        <v>80</v>
      </c>
      <c r="Q39" s="23" t="s">
        <v>80</v>
      </c>
      <c r="R39" s="23" t="s">
        <v>80</v>
      </c>
      <c r="S39" s="23" t="s">
        <v>80</v>
      </c>
      <c r="T39" s="23" t="s">
        <v>80</v>
      </c>
      <c r="U39" s="23" t="s">
        <v>80</v>
      </c>
      <c r="V39" s="23" t="s">
        <v>80</v>
      </c>
      <c r="W39" s="23" t="s">
        <v>80</v>
      </c>
      <c r="X39" s="23" t="s">
        <v>80</v>
      </c>
      <c r="Y39" s="23" t="s">
        <v>80</v>
      </c>
      <c r="Z39" s="23"/>
      <c r="AA39" s="23"/>
      <c r="AB39" s="23"/>
      <c r="AC39" s="23"/>
      <c r="AD39" s="23"/>
      <c r="AE39" s="87"/>
      <c r="AF39" s="115"/>
    </row>
    <row r="40" spans="1:32" s="17" customFormat="1" ht="13.5" customHeight="1">
      <c r="A40" s="204"/>
      <c r="B40" s="300"/>
      <c r="C40" s="262"/>
      <c r="D40" s="194" t="s">
        <v>164</v>
      </c>
      <c r="E40" s="194"/>
      <c r="F40" s="194"/>
      <c r="G40" s="250"/>
      <c r="H40" s="22" t="s">
        <v>80</v>
      </c>
      <c r="I40" s="23" t="s">
        <v>80</v>
      </c>
      <c r="J40" s="23"/>
      <c r="K40" s="23" t="s">
        <v>80</v>
      </c>
      <c r="L40" s="23" t="s">
        <v>80</v>
      </c>
      <c r="M40" s="23" t="s">
        <v>80</v>
      </c>
      <c r="N40" s="23"/>
      <c r="O40" s="23"/>
      <c r="P40" s="23" t="s">
        <v>80</v>
      </c>
      <c r="Q40" s="23"/>
      <c r="R40" s="23"/>
      <c r="S40" s="23"/>
      <c r="T40" s="23" t="s">
        <v>80</v>
      </c>
      <c r="U40" s="23"/>
      <c r="V40" s="23"/>
      <c r="W40" s="23"/>
      <c r="X40" s="23"/>
      <c r="Y40" s="23" t="s">
        <v>80</v>
      </c>
      <c r="Z40" s="23"/>
      <c r="AA40" s="23"/>
      <c r="AB40" s="23"/>
      <c r="AC40" s="23"/>
      <c r="AD40" s="23"/>
      <c r="AE40" s="87"/>
      <c r="AF40" s="115"/>
    </row>
    <row r="41" spans="1:32" s="17" customFormat="1" ht="13.5" customHeight="1">
      <c r="A41" s="204"/>
      <c r="B41" s="300"/>
      <c r="C41" s="262"/>
      <c r="D41" s="194" t="s">
        <v>163</v>
      </c>
      <c r="E41" s="194"/>
      <c r="F41" s="194"/>
      <c r="G41" s="250"/>
      <c r="H41" s="22"/>
      <c r="I41" s="23"/>
      <c r="J41" s="23" t="s">
        <v>80</v>
      </c>
      <c r="K41" s="23"/>
      <c r="L41" s="23"/>
      <c r="M41" s="23"/>
      <c r="N41" s="23"/>
      <c r="O41" s="23"/>
      <c r="P41" s="23"/>
      <c r="Q41" s="23" t="s">
        <v>80</v>
      </c>
      <c r="R41" s="23" t="s">
        <v>80</v>
      </c>
      <c r="S41" s="23" t="s">
        <v>80</v>
      </c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87"/>
      <c r="AF41" s="115"/>
    </row>
    <row r="42" spans="1:32" s="17" customFormat="1" ht="13.5" customHeight="1">
      <c r="A42" s="204"/>
      <c r="B42" s="300"/>
      <c r="C42" s="262"/>
      <c r="D42" s="193" t="s">
        <v>162</v>
      </c>
      <c r="E42" s="194"/>
      <c r="F42" s="194"/>
      <c r="G42" s="250"/>
      <c r="H42" s="22"/>
      <c r="I42" s="23"/>
      <c r="J42" s="23"/>
      <c r="K42" s="23"/>
      <c r="L42" s="23"/>
      <c r="M42" s="23"/>
      <c r="N42" s="23" t="s">
        <v>80</v>
      </c>
      <c r="O42" s="23" t="s">
        <v>80</v>
      </c>
      <c r="P42" s="23"/>
      <c r="Q42" s="23"/>
      <c r="R42" s="23"/>
      <c r="S42" s="23"/>
      <c r="T42" s="23"/>
      <c r="U42" s="23" t="s">
        <v>80</v>
      </c>
      <c r="V42" s="23" t="s">
        <v>80</v>
      </c>
      <c r="W42" s="23" t="s">
        <v>80</v>
      </c>
      <c r="X42" s="23" t="s">
        <v>80</v>
      </c>
      <c r="Y42" s="23"/>
      <c r="Z42" s="23"/>
      <c r="AA42" s="23"/>
      <c r="AB42" s="23"/>
      <c r="AC42" s="23"/>
      <c r="AD42" s="23"/>
      <c r="AE42" s="87"/>
      <c r="AF42" s="115"/>
    </row>
    <row r="43" spans="1:32" s="17" customFormat="1" ht="13.5" customHeight="1">
      <c r="A43" s="204"/>
      <c r="B43" s="300"/>
      <c r="C43" s="262"/>
      <c r="D43" s="194" t="s">
        <v>70</v>
      </c>
      <c r="E43" s="194"/>
      <c r="F43" s="194"/>
      <c r="G43" s="250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87"/>
      <c r="AF43" s="115" t="s">
        <v>80</v>
      </c>
    </row>
    <row r="44" spans="1:32" s="17" customFormat="1" ht="13.5" customHeight="1">
      <c r="A44" s="204"/>
      <c r="B44" s="300"/>
      <c r="C44" s="263"/>
      <c r="D44" s="194" t="s">
        <v>208</v>
      </c>
      <c r="E44" s="194"/>
      <c r="F44" s="194"/>
      <c r="G44" s="250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80</v>
      </c>
      <c r="AA44" s="23" t="s">
        <v>80</v>
      </c>
      <c r="AB44" s="23" t="s">
        <v>80</v>
      </c>
      <c r="AC44" s="23" t="s">
        <v>80</v>
      </c>
      <c r="AD44" s="23"/>
      <c r="AE44" s="87"/>
      <c r="AF44" s="115"/>
    </row>
    <row r="45" spans="1:32" s="17" customFormat="1" ht="13.5" customHeight="1">
      <c r="A45" s="204"/>
      <c r="B45" s="300"/>
      <c r="C45" s="193" t="s">
        <v>161</v>
      </c>
      <c r="D45" s="194"/>
      <c r="E45" s="194"/>
      <c r="F45" s="194"/>
      <c r="G45" s="250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87"/>
      <c r="AF45" s="115"/>
    </row>
    <row r="46" spans="1:32" s="17" customFormat="1" ht="13.5" customHeight="1">
      <c r="A46" s="204"/>
      <c r="B46" s="300"/>
      <c r="C46" s="261"/>
      <c r="D46" s="193" t="s">
        <v>160</v>
      </c>
      <c r="E46" s="194"/>
      <c r="F46" s="194"/>
      <c r="G46" s="250"/>
      <c r="H46" s="22" t="s">
        <v>80</v>
      </c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87"/>
      <c r="AF46" s="115"/>
    </row>
    <row r="47" spans="1:32" s="17" customFormat="1" ht="13.5" customHeight="1">
      <c r="A47" s="204"/>
      <c r="B47" s="300"/>
      <c r="C47" s="262"/>
      <c r="D47" s="193" t="s">
        <v>159</v>
      </c>
      <c r="E47" s="194"/>
      <c r="F47" s="194"/>
      <c r="G47" s="250"/>
      <c r="H47" s="22"/>
      <c r="I47" s="23" t="s">
        <v>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87"/>
      <c r="AF47" s="115"/>
    </row>
    <row r="48" spans="1:32" s="17" customFormat="1" ht="13.5" customHeight="1">
      <c r="A48" s="204"/>
      <c r="B48" s="300"/>
      <c r="C48" s="262"/>
      <c r="D48" s="193" t="s">
        <v>158</v>
      </c>
      <c r="E48" s="194"/>
      <c r="F48" s="194"/>
      <c r="G48" s="250"/>
      <c r="H48" s="22"/>
      <c r="I48" s="23"/>
      <c r="J48" s="23" t="s">
        <v>80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87"/>
      <c r="AF48" s="115"/>
    </row>
    <row r="49" spans="1:32" s="17" customFormat="1" ht="13.5" customHeight="1">
      <c r="A49" s="204"/>
      <c r="B49" s="300"/>
      <c r="C49" s="262"/>
      <c r="D49" s="193" t="s">
        <v>157</v>
      </c>
      <c r="E49" s="194"/>
      <c r="F49" s="194"/>
      <c r="G49" s="250"/>
      <c r="H49" s="22"/>
      <c r="I49" s="23"/>
      <c r="J49" s="23"/>
      <c r="K49" s="23" t="s">
        <v>80</v>
      </c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87"/>
      <c r="AF49" s="115"/>
    </row>
    <row r="50" spans="1:32" s="17" customFormat="1" ht="13.5" customHeight="1">
      <c r="A50" s="204"/>
      <c r="B50" s="300"/>
      <c r="C50" s="262"/>
      <c r="D50" s="193" t="s">
        <v>156</v>
      </c>
      <c r="E50" s="194"/>
      <c r="F50" s="194"/>
      <c r="G50" s="250"/>
      <c r="H50" s="22"/>
      <c r="I50" s="23"/>
      <c r="J50" s="23"/>
      <c r="K50" s="23"/>
      <c r="L50" s="23" t="s">
        <v>80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87"/>
      <c r="AF50" s="115"/>
    </row>
    <row r="51" spans="1:32" s="17" customFormat="1" ht="13.5" customHeight="1">
      <c r="A51" s="204"/>
      <c r="B51" s="300"/>
      <c r="C51" s="262"/>
      <c r="D51" s="193" t="s">
        <v>155</v>
      </c>
      <c r="E51" s="194"/>
      <c r="F51" s="194"/>
      <c r="G51" s="250"/>
      <c r="H51" s="22"/>
      <c r="I51" s="23"/>
      <c r="J51" s="23"/>
      <c r="K51" s="23"/>
      <c r="L51" s="23"/>
      <c r="M51" s="23" t="s">
        <v>80</v>
      </c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87"/>
      <c r="AF51" s="115"/>
    </row>
    <row r="52" spans="1:32" s="17" customFormat="1" ht="13.5" customHeight="1">
      <c r="A52" s="204"/>
      <c r="B52" s="300"/>
      <c r="C52" s="262"/>
      <c r="D52" s="193" t="s">
        <v>154</v>
      </c>
      <c r="E52" s="194"/>
      <c r="F52" s="194"/>
      <c r="G52" s="250"/>
      <c r="H52" s="22"/>
      <c r="I52" s="23"/>
      <c r="J52" s="23"/>
      <c r="K52" s="23"/>
      <c r="L52" s="23"/>
      <c r="M52" s="23"/>
      <c r="N52" s="23" t="s">
        <v>80</v>
      </c>
      <c r="O52" s="23" t="s">
        <v>80</v>
      </c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87"/>
      <c r="AF52" s="115"/>
    </row>
    <row r="53" spans="1:32" s="17" customFormat="1" ht="13.5" customHeight="1">
      <c r="A53" s="204"/>
      <c r="B53" s="300"/>
      <c r="C53" s="262"/>
      <c r="D53" s="193" t="s">
        <v>153</v>
      </c>
      <c r="E53" s="194"/>
      <c r="F53" s="194"/>
      <c r="G53" s="250"/>
      <c r="H53" s="22"/>
      <c r="I53" s="23"/>
      <c r="J53" s="23"/>
      <c r="K53" s="23"/>
      <c r="L53" s="23"/>
      <c r="M53" s="23"/>
      <c r="N53" s="23"/>
      <c r="O53" s="23"/>
      <c r="P53" s="23" t="s">
        <v>80</v>
      </c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87"/>
      <c r="AF53" s="115"/>
    </row>
    <row r="54" spans="1:32" s="17" customFormat="1" ht="13.5" customHeight="1">
      <c r="A54" s="204"/>
      <c r="B54" s="300"/>
      <c r="C54" s="262"/>
      <c r="D54" s="193" t="s">
        <v>152</v>
      </c>
      <c r="E54" s="194"/>
      <c r="F54" s="194"/>
      <c r="G54" s="250"/>
      <c r="H54" s="22"/>
      <c r="I54" s="23"/>
      <c r="J54" s="23"/>
      <c r="K54" s="23"/>
      <c r="L54" s="23"/>
      <c r="M54" s="23"/>
      <c r="N54" s="23"/>
      <c r="O54" s="23"/>
      <c r="P54" s="23"/>
      <c r="Q54" s="23" t="s">
        <v>80</v>
      </c>
      <c r="R54" s="23" t="s">
        <v>80</v>
      </c>
      <c r="S54" s="23" t="s">
        <v>80</v>
      </c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87"/>
      <c r="AF54" s="115"/>
    </row>
    <row r="55" spans="1:32" s="17" customFormat="1" ht="13.5" customHeight="1">
      <c r="A55" s="204"/>
      <c r="B55" s="300"/>
      <c r="C55" s="262"/>
      <c r="D55" s="193" t="s">
        <v>151</v>
      </c>
      <c r="E55" s="194"/>
      <c r="F55" s="194"/>
      <c r="G55" s="250"/>
      <c r="H55" s="22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 t="s">
        <v>80</v>
      </c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87"/>
      <c r="AF55" s="115"/>
    </row>
    <row r="56" spans="1:32" s="17" customFormat="1" ht="13.5" customHeight="1">
      <c r="A56" s="204"/>
      <c r="B56" s="300"/>
      <c r="C56" s="262"/>
      <c r="D56" s="193" t="s">
        <v>150</v>
      </c>
      <c r="E56" s="194"/>
      <c r="F56" s="194"/>
      <c r="G56" s="250"/>
      <c r="H56" s="22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s">
        <v>80</v>
      </c>
      <c r="V56" s="23" t="s">
        <v>80</v>
      </c>
      <c r="W56" s="23" t="s">
        <v>80</v>
      </c>
      <c r="X56" s="23" t="s">
        <v>80</v>
      </c>
      <c r="Y56" s="23"/>
      <c r="Z56" s="23"/>
      <c r="AA56" s="23"/>
      <c r="AB56" s="23"/>
      <c r="AC56" s="23"/>
      <c r="AD56" s="23"/>
      <c r="AE56" s="87"/>
      <c r="AF56" s="115"/>
    </row>
    <row r="57" spans="1:32" s="17" customFormat="1" ht="13.5" customHeight="1">
      <c r="A57" s="204"/>
      <c r="B57" s="300"/>
      <c r="C57" s="263"/>
      <c r="D57" s="191" t="s">
        <v>149</v>
      </c>
      <c r="E57" s="192"/>
      <c r="F57" s="192"/>
      <c r="G57" s="288"/>
      <c r="H57" s="22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 t="s">
        <v>80</v>
      </c>
      <c r="Z57" s="23"/>
      <c r="AA57" s="23"/>
      <c r="AB57" s="23"/>
      <c r="AC57" s="23"/>
      <c r="AD57" s="23"/>
      <c r="AE57" s="87"/>
      <c r="AF57" s="115"/>
    </row>
    <row r="58" spans="1:32" s="17" customFormat="1" ht="13.5" customHeight="1">
      <c r="A58" s="204"/>
      <c r="B58" s="300"/>
      <c r="C58" s="193" t="s">
        <v>148</v>
      </c>
      <c r="D58" s="194"/>
      <c r="E58" s="194"/>
      <c r="F58" s="194"/>
      <c r="G58" s="250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</row>
    <row r="59" spans="1:32" s="17" customFormat="1" ht="13.5" customHeight="1">
      <c r="A59" s="204"/>
      <c r="B59" s="300"/>
      <c r="C59" s="261"/>
      <c r="D59" s="194" t="s">
        <v>147</v>
      </c>
      <c r="E59" s="194"/>
      <c r="F59" s="194"/>
      <c r="G59" s="250"/>
      <c r="H59" s="23" t="s">
        <v>80</v>
      </c>
      <c r="I59" s="23" t="s">
        <v>80</v>
      </c>
      <c r="J59" s="23" t="s">
        <v>80</v>
      </c>
      <c r="K59" s="23" t="s">
        <v>80</v>
      </c>
      <c r="L59" s="23" t="s">
        <v>80</v>
      </c>
      <c r="M59" s="23" t="s">
        <v>80</v>
      </c>
      <c r="N59" s="23" t="s">
        <v>80</v>
      </c>
      <c r="O59" s="23" t="s">
        <v>80</v>
      </c>
      <c r="P59" s="23" t="s">
        <v>80</v>
      </c>
      <c r="Q59" s="23" t="s">
        <v>80</v>
      </c>
      <c r="R59" s="23" t="s">
        <v>80</v>
      </c>
      <c r="S59" s="23" t="s">
        <v>80</v>
      </c>
      <c r="T59" s="23" t="s">
        <v>80</v>
      </c>
      <c r="U59" s="23" t="s">
        <v>80</v>
      </c>
      <c r="V59" s="23" t="s">
        <v>80</v>
      </c>
      <c r="W59" s="23" t="s">
        <v>80</v>
      </c>
      <c r="X59" s="23" t="s">
        <v>80</v>
      </c>
      <c r="Y59" s="23" t="s">
        <v>80</v>
      </c>
      <c r="Z59" s="23"/>
      <c r="AA59" s="23"/>
      <c r="AB59" s="23"/>
      <c r="AC59" s="23"/>
      <c r="AD59" s="23" t="s">
        <v>80</v>
      </c>
      <c r="AE59" s="23" t="s">
        <v>80</v>
      </c>
      <c r="AF59" s="23" t="s">
        <v>80</v>
      </c>
    </row>
    <row r="60" spans="1:32" s="17" customFormat="1" ht="13.5" customHeight="1">
      <c r="A60" s="204"/>
      <c r="B60" s="300"/>
      <c r="C60" s="263"/>
      <c r="D60" s="194" t="s">
        <v>209</v>
      </c>
      <c r="E60" s="194"/>
      <c r="F60" s="194"/>
      <c r="G60" s="250"/>
      <c r="H60" s="22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 t="s">
        <v>80</v>
      </c>
      <c r="AA60" s="23" t="s">
        <v>80</v>
      </c>
      <c r="AB60" s="23" t="s">
        <v>80</v>
      </c>
      <c r="AC60" s="23" t="s">
        <v>80</v>
      </c>
      <c r="AD60" s="23"/>
      <c r="AE60" s="87"/>
      <c r="AF60" s="115"/>
    </row>
    <row r="61" spans="1:32" s="17" customFormat="1" ht="13.5" customHeight="1">
      <c r="A61" s="204"/>
      <c r="B61" s="300"/>
      <c r="C61" s="193" t="s">
        <v>146</v>
      </c>
      <c r="D61" s="194"/>
      <c r="E61" s="194"/>
      <c r="F61" s="194"/>
      <c r="G61" s="250"/>
      <c r="H61" s="22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87"/>
      <c r="AF61" s="115"/>
    </row>
    <row r="62" spans="1:32" s="17" customFormat="1" ht="13.5" customHeight="1">
      <c r="A62" s="204"/>
      <c r="B62" s="300"/>
      <c r="C62" s="261"/>
      <c r="D62" s="194" t="s">
        <v>145</v>
      </c>
      <c r="E62" s="194"/>
      <c r="F62" s="194"/>
      <c r="G62" s="250"/>
      <c r="H62" s="22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76" t="s">
        <v>80</v>
      </c>
      <c r="AE62" s="87"/>
      <c r="AF62" s="115"/>
    </row>
    <row r="63" spans="1:32" s="17" customFormat="1" ht="13.5" customHeight="1">
      <c r="A63" s="204"/>
      <c r="B63" s="300"/>
      <c r="C63" s="263"/>
      <c r="D63" s="194" t="s">
        <v>144</v>
      </c>
      <c r="E63" s="194"/>
      <c r="F63" s="194"/>
      <c r="G63" s="250"/>
      <c r="H63" s="22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76" t="s">
        <v>80</v>
      </c>
      <c r="AE63" s="87"/>
      <c r="AF63" s="115"/>
    </row>
    <row r="64" spans="1:32" s="17" customFormat="1" ht="13.5" customHeight="1">
      <c r="A64" s="204"/>
      <c r="B64" s="300"/>
      <c r="C64" s="193" t="s">
        <v>143</v>
      </c>
      <c r="D64" s="194"/>
      <c r="E64" s="194"/>
      <c r="F64" s="194"/>
      <c r="G64" s="194"/>
      <c r="H64" s="22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87"/>
      <c r="AF64" s="115"/>
    </row>
    <row r="65" spans="1:32" s="17" customFormat="1" ht="13.5" customHeight="1">
      <c r="A65" s="204"/>
      <c r="B65" s="300"/>
      <c r="C65" s="79"/>
      <c r="D65" s="194" t="s">
        <v>142</v>
      </c>
      <c r="E65" s="194"/>
      <c r="F65" s="194"/>
      <c r="G65" s="250"/>
      <c r="H65" s="22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76" t="s">
        <v>80</v>
      </c>
      <c r="AF65" s="115"/>
    </row>
    <row r="66" spans="1:32" s="17" customFormat="1" ht="13.5" customHeight="1">
      <c r="A66" s="204"/>
      <c r="B66" s="300"/>
      <c r="C66" s="193" t="s">
        <v>124</v>
      </c>
      <c r="D66" s="194"/>
      <c r="E66" s="194"/>
      <c r="F66" s="194"/>
      <c r="G66" s="250"/>
      <c r="H66" s="22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87"/>
      <c r="AF66" s="115"/>
    </row>
    <row r="67" spans="1:32" s="17" customFormat="1" ht="13.5" customHeight="1" thickBot="1">
      <c r="A67" s="204"/>
      <c r="B67" s="300"/>
      <c r="C67" s="99"/>
      <c r="D67" s="314" t="s">
        <v>99</v>
      </c>
      <c r="E67" s="315"/>
      <c r="F67" s="315"/>
      <c r="G67" s="316"/>
      <c r="H67" s="88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87"/>
      <c r="AF67" s="115"/>
    </row>
    <row r="68" spans="1:32" s="17" customFormat="1" ht="24" customHeight="1">
      <c r="A68" s="195" t="s">
        <v>141</v>
      </c>
      <c r="B68" s="197"/>
      <c r="C68" s="198"/>
      <c r="D68" s="198"/>
      <c r="E68" s="198"/>
      <c r="F68" s="199"/>
      <c r="G68" s="35" t="s">
        <v>140</v>
      </c>
      <c r="H68" s="36" t="s">
        <v>81</v>
      </c>
      <c r="I68" s="37" t="s">
        <v>81</v>
      </c>
      <c r="J68" s="37" t="s">
        <v>139</v>
      </c>
      <c r="K68" s="37" t="s">
        <v>81</v>
      </c>
      <c r="L68" s="37" t="s">
        <v>81</v>
      </c>
      <c r="M68" s="37" t="s">
        <v>81</v>
      </c>
      <c r="N68" s="37" t="s">
        <v>139</v>
      </c>
      <c r="O68" s="37" t="s">
        <v>139</v>
      </c>
      <c r="P68" s="37" t="s">
        <v>81</v>
      </c>
      <c r="Q68" s="37" t="s">
        <v>139</v>
      </c>
      <c r="R68" s="37" t="s">
        <v>139</v>
      </c>
      <c r="S68" s="37" t="s">
        <v>139</v>
      </c>
      <c r="T68" s="37" t="s">
        <v>81</v>
      </c>
      <c r="U68" s="37" t="s">
        <v>139</v>
      </c>
      <c r="V68" s="37" t="s">
        <v>139</v>
      </c>
      <c r="W68" s="37" t="s">
        <v>139</v>
      </c>
      <c r="X68" s="37" t="s">
        <v>139</v>
      </c>
      <c r="Y68" s="37" t="s">
        <v>81</v>
      </c>
      <c r="Z68" s="37" t="s">
        <v>81</v>
      </c>
      <c r="AA68" s="37" t="s">
        <v>81</v>
      </c>
      <c r="AB68" s="37" t="s">
        <v>81</v>
      </c>
      <c r="AC68" s="37" t="s">
        <v>81</v>
      </c>
      <c r="AD68" s="37" t="s">
        <v>81</v>
      </c>
      <c r="AE68" s="37" t="s">
        <v>81</v>
      </c>
      <c r="AF68" s="38" t="s">
        <v>81</v>
      </c>
    </row>
    <row r="69" spans="1:32" s="17" customFormat="1" ht="27" customHeight="1">
      <c r="A69" s="196"/>
      <c r="B69" s="200"/>
      <c r="C69" s="201"/>
      <c r="D69" s="201"/>
      <c r="E69" s="201"/>
      <c r="F69" s="202"/>
      <c r="G69" s="39" t="s">
        <v>138</v>
      </c>
      <c r="H69" s="40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42"/>
    </row>
    <row r="70" spans="1:32" s="17" customFormat="1" ht="27" customHeight="1">
      <c r="A70" s="196"/>
      <c r="B70" s="200"/>
      <c r="C70" s="201"/>
      <c r="D70" s="201"/>
      <c r="E70" s="201"/>
      <c r="F70" s="202"/>
      <c r="G70" s="39" t="s">
        <v>137</v>
      </c>
      <c r="H70" s="43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5"/>
    </row>
    <row r="71" spans="1:32" s="17" customFormat="1" ht="24.75" customHeight="1">
      <c r="A71" s="196"/>
      <c r="B71" s="200"/>
      <c r="C71" s="201"/>
      <c r="D71" s="201"/>
      <c r="E71" s="201"/>
      <c r="F71" s="202"/>
      <c r="G71" s="46" t="s">
        <v>136</v>
      </c>
      <c r="H71" s="40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42"/>
    </row>
    <row r="72" spans="1:32" s="17" customFormat="1" ht="24.75" customHeight="1">
      <c r="A72" s="235" t="s">
        <v>135</v>
      </c>
      <c r="B72" s="237" t="s">
        <v>134</v>
      </c>
      <c r="C72" s="237"/>
      <c r="D72" s="237"/>
      <c r="E72" s="237"/>
      <c r="F72" s="238" t="str">
        <f>GetBugSheetName()</f>
        <v>Summary_</v>
      </c>
      <c r="G72" s="239"/>
      <c r="H72" s="60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4"/>
    </row>
    <row r="73" spans="1:32" s="17" customFormat="1" ht="36" customHeight="1" thickBot="1">
      <c r="A73" s="236"/>
      <c r="B73" s="223" t="s">
        <v>133</v>
      </c>
      <c r="C73" s="224"/>
      <c r="D73" s="224"/>
      <c r="E73" s="225"/>
      <c r="F73" s="223"/>
      <c r="G73" s="240"/>
      <c r="H73" s="61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 t="str">
        <f t="shared" ref="S73:AF73" si="1">IF(S72="","",(SUM(LEN(S72)-LEN(SUBSTITUTE(S72,",","")))/LEN(",")) + 1 )</f>
        <v/>
      </c>
      <c r="T73" s="55" t="str">
        <f t="shared" si="1"/>
        <v/>
      </c>
      <c r="U73" s="55" t="str">
        <f t="shared" si="1"/>
        <v/>
      </c>
      <c r="V73" s="55" t="str">
        <f t="shared" si="1"/>
        <v/>
      </c>
      <c r="W73" s="55" t="str">
        <f t="shared" si="1"/>
        <v/>
      </c>
      <c r="X73" s="55" t="str">
        <f t="shared" si="1"/>
        <v/>
      </c>
      <c r="Y73" s="55" t="str">
        <f t="shared" si="1"/>
        <v/>
      </c>
      <c r="Z73" s="55" t="str">
        <f t="shared" si="1"/>
        <v/>
      </c>
      <c r="AA73" s="55" t="str">
        <f t="shared" si="1"/>
        <v/>
      </c>
      <c r="AB73" s="55" t="str">
        <f t="shared" si="1"/>
        <v/>
      </c>
      <c r="AC73" s="55" t="str">
        <f t="shared" si="1"/>
        <v/>
      </c>
      <c r="AD73" s="55" t="str">
        <f t="shared" si="1"/>
        <v/>
      </c>
      <c r="AE73" s="55" t="str">
        <f t="shared" si="1"/>
        <v/>
      </c>
      <c r="AF73" s="56" t="str">
        <f t="shared" si="1"/>
        <v/>
      </c>
    </row>
    <row r="74" spans="1:32" s="17" customFormat="1">
      <c r="H74" s="47"/>
      <c r="I74" s="47"/>
      <c r="J74" s="47"/>
      <c r="K74" s="47"/>
      <c r="L74" s="47"/>
      <c r="M74" s="47"/>
      <c r="N74" s="48"/>
      <c r="O74" s="49"/>
      <c r="P74" s="47"/>
      <c r="Q74" s="47"/>
      <c r="R74" s="47"/>
      <c r="S74" s="47"/>
      <c r="T74" s="47"/>
      <c r="U74" s="47"/>
      <c r="V74" s="47"/>
    </row>
  </sheetData>
  <sheetProtection insertRows="0"/>
  <protectedRanges>
    <protectedRange sqref="H68:AF72" name="Range3_1_1"/>
    <protectedRange sqref="H4:AF4 AD62:AD63 AE5:AF57 AE61:AF67" name="Range2_1_1"/>
    <protectedRange sqref="B1:O1 P2 T1 B2:E2" name="Range1_1_1"/>
    <protectedRange sqref="P2 AC2:AF2" name="Range1_1_1_1"/>
    <protectedRange sqref="B36 D36:G36" name="Range2_1_2"/>
    <protectedRange sqref="AC1:AF1" name="Range1_1_1_3"/>
    <protectedRange sqref="C61:G63 B61:B67 B37:C57 D37:G45 B58:G60" name="Range2_1_3_1"/>
    <protectedRange sqref="C64:G65" name="Range2_1_8"/>
    <protectedRange sqref="C66:G66" name="Range2_1_8_1"/>
    <protectedRange sqref="C67:G67" name="Range2_1_11"/>
    <protectedRange sqref="D46:G57" name="Range2_1_30_1"/>
    <protectedRange sqref="H64:AD67 H62:AC63 H5:AD57 H61:AD61 H58:AF59 H60:AC60" name="Range2_1_1_1_1"/>
  </protectedRanges>
  <mergeCells count="98">
    <mergeCell ref="D54:G54"/>
    <mergeCell ref="D55:G55"/>
    <mergeCell ref="C58:G58"/>
    <mergeCell ref="D60:G60"/>
    <mergeCell ref="D67:G67"/>
    <mergeCell ref="C62:C63"/>
    <mergeCell ref="D62:G62"/>
    <mergeCell ref="D63:G63"/>
    <mergeCell ref="C64:G64"/>
    <mergeCell ref="D65:G65"/>
    <mergeCell ref="D59:G59"/>
    <mergeCell ref="C59:C60"/>
    <mergeCell ref="D56:G56"/>
    <mergeCell ref="D57:G57"/>
    <mergeCell ref="B38:B67"/>
    <mergeCell ref="C38:G38"/>
    <mergeCell ref="C39:C44"/>
    <mergeCell ref="D39:G39"/>
    <mergeCell ref="D40:G40"/>
    <mergeCell ref="D41:G41"/>
    <mergeCell ref="D42:G42"/>
    <mergeCell ref="D44:G44"/>
    <mergeCell ref="C45:G45"/>
    <mergeCell ref="C61:G61"/>
    <mergeCell ref="C66:G66"/>
    <mergeCell ref="D51:G51"/>
    <mergeCell ref="D52:G52"/>
    <mergeCell ref="D53:G53"/>
    <mergeCell ref="D24:G24"/>
    <mergeCell ref="D25:G25"/>
    <mergeCell ref="D26:G26"/>
    <mergeCell ref="D49:G49"/>
    <mergeCell ref="D50:G50"/>
    <mergeCell ref="C31:G31"/>
    <mergeCell ref="C32:G32"/>
    <mergeCell ref="C33:G33"/>
    <mergeCell ref="C34:C35"/>
    <mergeCell ref="D34:G34"/>
    <mergeCell ref="D35:G35"/>
    <mergeCell ref="D43:G43"/>
    <mergeCell ref="C46:C57"/>
    <mergeCell ref="D46:G46"/>
    <mergeCell ref="D47:G47"/>
    <mergeCell ref="D48:G48"/>
    <mergeCell ref="A72:A73"/>
    <mergeCell ref="B72:E72"/>
    <mergeCell ref="F72:G72"/>
    <mergeCell ref="B73:E73"/>
    <mergeCell ref="F73:G73"/>
    <mergeCell ref="A68:A71"/>
    <mergeCell ref="B68:F68"/>
    <mergeCell ref="B69:F69"/>
    <mergeCell ref="B70:F70"/>
    <mergeCell ref="B71:F71"/>
    <mergeCell ref="A4:A36"/>
    <mergeCell ref="B4:G4"/>
    <mergeCell ref="B36:G36"/>
    <mergeCell ref="A37:A67"/>
    <mergeCell ref="B37:G37"/>
    <mergeCell ref="B5:G5"/>
    <mergeCell ref="C6:G6"/>
    <mergeCell ref="C7:G7"/>
    <mergeCell ref="B8:B35"/>
    <mergeCell ref="C8:G8"/>
    <mergeCell ref="D14:G14"/>
    <mergeCell ref="C15:G15"/>
    <mergeCell ref="C16:G16"/>
    <mergeCell ref="C17:C19"/>
    <mergeCell ref="D17:G17"/>
    <mergeCell ref="D18:G18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C27:G27"/>
    <mergeCell ref="C28:G28"/>
    <mergeCell ref="C29:G29"/>
    <mergeCell ref="C30:G30"/>
    <mergeCell ref="C9:G9"/>
    <mergeCell ref="C10:G10"/>
    <mergeCell ref="C11:G11"/>
    <mergeCell ref="C12:G12"/>
    <mergeCell ref="C13:C14"/>
    <mergeCell ref="D13:G13"/>
    <mergeCell ref="D19:G19"/>
    <mergeCell ref="C20:G20"/>
    <mergeCell ref="C21:G21"/>
    <mergeCell ref="C22:C26"/>
    <mergeCell ref="D22:G22"/>
    <mergeCell ref="D23:G23"/>
  </mergeCells>
  <conditionalFormatting sqref="AD5:AD61 AD64:AD67 H5:AC67 AD58:AF59 H59:AD60">
    <cfRule type="expression" dxfId="21" priority="1" stopIfTrue="1">
      <formula>H$71="NA"</formula>
    </cfRule>
    <cfRule type="expression" dxfId="20" priority="2" stopIfTrue="1">
      <formula>H$71="NG"</formula>
    </cfRule>
  </conditionalFormatting>
  <dataValidations count="10">
    <dataValidation allowBlank="1" showInputMessage="1" showErrorMessage="1" promptTitle="Input conditions" prompt="that need to be checked." sqref="A4:A36"/>
    <dataValidation allowBlank="1" showInputMessage="1" showErrorMessage="1" promptTitle="Check points" prompt="that need / need not be executed" sqref="A37:A67"/>
    <dataValidation allowBlank="1" showInputMessage="1" showErrorMessage="1" promptTitle="Condition Type" prompt="N : Normal _x000a_A : Abnormal _x000a_B : Boundary" sqref="G68"/>
    <dataValidation allowBlank="1" showInputMessage="1" showErrorMessage="1" promptTitle="Enter" prompt="Name of the person who performed the test" sqref="G69"/>
    <dataValidation allowBlank="1" showInputMessage="1" showErrorMessage="1" promptTitle="Testing Date" prompt="Date on which test was performed in yyyy/mm/dd format" sqref="G7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71"/>
    <dataValidation allowBlank="1" showInputMessage="1" showErrorMessage="1" promptTitle="Bug ID" prompt="Unique ID throughout the project._x000a_For every Bug found during Test as well as Re-Test, a new Bug ID needs to be entered here (as a comma seperated value)" sqref="B72:E72"/>
    <dataValidation allowBlank="1" showInputMessage="1" showErrorMessage="1" promptTitle="PCL sheet name" prompt=" " sqref="F72:G72"/>
    <dataValidation type="list" allowBlank="1" showInputMessage="1" showErrorMessage="1" sqref="H71:AF71">
      <formula1>"OK, NG, NA, PT"</formula1>
    </dataValidation>
    <dataValidation type="list" allowBlank="1" showInputMessage="1" showErrorMessage="1" sqref="H68:AF68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52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74"/>
  <sheetViews>
    <sheetView view="pageBreakPreview" zoomScale="85" zoomScaleNormal="70" workbookViewId="0">
      <pane xSplit="7" ySplit="3" topLeftCell="H23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S32" sqref="S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112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196</v>
      </c>
      <c r="AB2" s="233"/>
      <c r="AC2" s="220" t="s">
        <v>255</v>
      </c>
      <c r="AD2" s="221"/>
      <c r="AE2" s="221"/>
      <c r="AF2" s="234"/>
    </row>
    <row r="3" spans="1:32" ht="37.5" customHeight="1" thickBot="1">
      <c r="A3" s="66" t="s">
        <v>195</v>
      </c>
      <c r="B3" s="10"/>
      <c r="C3" s="10"/>
      <c r="D3" s="10"/>
      <c r="E3" s="10"/>
      <c r="F3" s="10"/>
      <c r="G3" s="65" t="s">
        <v>194</v>
      </c>
      <c r="H3" s="11">
        <v>26</v>
      </c>
      <c r="I3" s="12">
        <f t="shared" ref="I3:AF3" si="0">IF(COUNTA(I4:I68)&gt;0,IF(H3&gt;0,H3+1,""),"")</f>
        <v>27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193</v>
      </c>
      <c r="B4" s="207" t="s">
        <v>192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191</v>
      </c>
      <c r="C5" s="212"/>
      <c r="D5" s="212"/>
      <c r="E5" s="212"/>
      <c r="F5" s="212"/>
      <c r="G5" s="241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76"/>
      <c r="AF5" s="116"/>
    </row>
    <row r="6" spans="1:32" s="17" customFormat="1" ht="13.5" customHeight="1">
      <c r="A6" s="210"/>
      <c r="B6" s="77"/>
      <c r="C6" s="245" t="s">
        <v>190</v>
      </c>
      <c r="D6" s="245"/>
      <c r="E6" s="245"/>
      <c r="F6" s="245"/>
      <c r="G6" s="265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76"/>
      <c r="AF6" s="116"/>
    </row>
    <row r="7" spans="1:32" s="17" customFormat="1" ht="13.5" customHeight="1">
      <c r="A7" s="210"/>
      <c r="B7" s="77"/>
      <c r="C7" s="245" t="s">
        <v>189</v>
      </c>
      <c r="D7" s="245"/>
      <c r="E7" s="245"/>
      <c r="F7" s="245"/>
      <c r="G7" s="265"/>
      <c r="H7" s="18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76"/>
      <c r="AF7" s="116"/>
    </row>
    <row r="8" spans="1:32" s="17" customFormat="1" ht="13.5" customHeight="1">
      <c r="A8" s="210"/>
      <c r="B8" s="215"/>
      <c r="C8" s="211" t="s">
        <v>188</v>
      </c>
      <c r="D8" s="214"/>
      <c r="E8" s="214"/>
      <c r="F8" s="214"/>
      <c r="G8" s="28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76"/>
      <c r="AF8" s="116"/>
    </row>
    <row r="9" spans="1:32" s="17" customFormat="1" ht="13.5" customHeight="1">
      <c r="A9" s="210"/>
      <c r="B9" s="215"/>
      <c r="C9" s="245" t="s">
        <v>187</v>
      </c>
      <c r="D9" s="245"/>
      <c r="E9" s="245"/>
      <c r="F9" s="245"/>
      <c r="G9" s="265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76"/>
      <c r="AF9" s="116"/>
    </row>
    <row r="10" spans="1:32" s="17" customFormat="1" ht="13.5" customHeight="1">
      <c r="A10" s="210"/>
      <c r="B10" s="215"/>
      <c r="C10" s="245" t="s">
        <v>186</v>
      </c>
      <c r="D10" s="245"/>
      <c r="E10" s="245"/>
      <c r="F10" s="245"/>
      <c r="G10" s="265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76"/>
      <c r="AF10" s="116"/>
    </row>
    <row r="11" spans="1:32" s="17" customFormat="1" ht="13.5" customHeight="1">
      <c r="A11" s="210"/>
      <c r="B11" s="215"/>
      <c r="C11" s="245" t="s">
        <v>185</v>
      </c>
      <c r="D11" s="245"/>
      <c r="E11" s="245"/>
      <c r="F11" s="245"/>
      <c r="G11" s="265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76"/>
      <c r="AF11" s="116"/>
    </row>
    <row r="12" spans="1:32" s="17" customFormat="1" ht="13.5" customHeight="1">
      <c r="A12" s="210"/>
      <c r="B12" s="215"/>
      <c r="C12" s="245" t="s">
        <v>184</v>
      </c>
      <c r="D12" s="245"/>
      <c r="E12" s="245"/>
      <c r="F12" s="245"/>
      <c r="G12" s="265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76"/>
      <c r="AF12" s="116"/>
    </row>
    <row r="13" spans="1:32" s="17" customFormat="1" ht="13.5" customHeight="1">
      <c r="A13" s="210"/>
      <c r="B13" s="215"/>
      <c r="C13" s="300"/>
      <c r="D13" s="245" t="s">
        <v>183</v>
      </c>
      <c r="E13" s="245"/>
      <c r="F13" s="245"/>
      <c r="G13" s="265"/>
      <c r="H13" s="22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76"/>
      <c r="AF13" s="116"/>
    </row>
    <row r="14" spans="1:32" s="17" customFormat="1" ht="13.5" customHeight="1">
      <c r="A14" s="210"/>
      <c r="B14" s="215"/>
      <c r="C14" s="300"/>
      <c r="D14" s="245" t="s">
        <v>182</v>
      </c>
      <c r="E14" s="245"/>
      <c r="F14" s="245"/>
      <c r="G14" s="265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76"/>
      <c r="AF14" s="116"/>
    </row>
    <row r="15" spans="1:32" s="17" customFormat="1" ht="13.5" customHeight="1">
      <c r="A15" s="210"/>
      <c r="B15" s="215"/>
      <c r="C15" s="245" t="s">
        <v>181</v>
      </c>
      <c r="D15" s="245"/>
      <c r="E15" s="245"/>
      <c r="F15" s="245"/>
      <c r="G15" s="265"/>
      <c r="H15" s="22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76"/>
      <c r="AF15" s="116"/>
    </row>
    <row r="16" spans="1:32" s="17" customFormat="1" ht="13.5" customHeight="1">
      <c r="A16" s="210"/>
      <c r="B16" s="215"/>
      <c r="C16" s="245" t="s">
        <v>180</v>
      </c>
      <c r="D16" s="245"/>
      <c r="E16" s="245"/>
      <c r="F16" s="245"/>
      <c r="G16" s="265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76"/>
      <c r="AF16" s="116"/>
    </row>
    <row r="17" spans="1:32" s="17" customFormat="1" ht="13.5" customHeight="1">
      <c r="A17" s="210"/>
      <c r="B17" s="215"/>
      <c r="C17" s="245"/>
      <c r="D17" s="245" t="s">
        <v>179</v>
      </c>
      <c r="E17" s="245"/>
      <c r="F17" s="245"/>
      <c r="G17" s="265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76"/>
      <c r="AF17" s="116"/>
    </row>
    <row r="18" spans="1:32" s="17" customFormat="1" ht="13.5" customHeight="1">
      <c r="A18" s="210"/>
      <c r="B18" s="215"/>
      <c r="C18" s="245"/>
      <c r="D18" s="245" t="s">
        <v>178</v>
      </c>
      <c r="E18" s="245"/>
      <c r="F18" s="245"/>
      <c r="G18" s="265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76"/>
      <c r="AF18" s="116"/>
    </row>
    <row r="19" spans="1:32" s="17" customFormat="1" ht="13.5" customHeight="1">
      <c r="A19" s="210"/>
      <c r="B19" s="215"/>
      <c r="C19" s="245"/>
      <c r="D19" s="245" t="s">
        <v>177</v>
      </c>
      <c r="E19" s="245"/>
      <c r="F19" s="245"/>
      <c r="G19" s="265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76"/>
      <c r="AF19" s="116"/>
    </row>
    <row r="20" spans="1:32" s="17" customFormat="1" ht="13.5" customHeight="1">
      <c r="A20" s="210"/>
      <c r="B20" s="215"/>
      <c r="C20" s="245" t="s">
        <v>176</v>
      </c>
      <c r="D20" s="245"/>
      <c r="E20" s="245"/>
      <c r="F20" s="245"/>
      <c r="G20" s="265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76"/>
      <c r="AF20" s="116"/>
    </row>
    <row r="21" spans="1:32" s="17" customFormat="1" ht="13.5" customHeight="1">
      <c r="A21" s="210"/>
      <c r="B21" s="215"/>
      <c r="C21" s="245" t="s">
        <v>175</v>
      </c>
      <c r="D21" s="245"/>
      <c r="E21" s="245"/>
      <c r="F21" s="245"/>
      <c r="G21" s="265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76"/>
      <c r="AF21" s="116"/>
    </row>
    <row r="22" spans="1:32" s="17" customFormat="1" ht="13.5" customHeight="1">
      <c r="A22" s="210"/>
      <c r="B22" s="215"/>
      <c r="C22" s="300"/>
      <c r="D22" s="313" t="s">
        <v>174</v>
      </c>
      <c r="E22" s="245"/>
      <c r="F22" s="245"/>
      <c r="G22" s="265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76"/>
      <c r="AF22" s="116"/>
    </row>
    <row r="23" spans="1:32" s="17" customFormat="1" ht="13.5" customHeight="1">
      <c r="A23" s="210"/>
      <c r="B23" s="215"/>
      <c r="C23" s="300"/>
      <c r="D23" s="313" t="s">
        <v>173</v>
      </c>
      <c r="E23" s="245"/>
      <c r="F23" s="245"/>
      <c r="G23" s="265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76"/>
      <c r="AF23" s="116"/>
    </row>
    <row r="24" spans="1:32" s="17" customFormat="1" ht="13.5" customHeight="1">
      <c r="A24" s="210"/>
      <c r="B24" s="215"/>
      <c r="C24" s="300"/>
      <c r="D24" s="313" t="s">
        <v>172</v>
      </c>
      <c r="E24" s="245"/>
      <c r="F24" s="245"/>
      <c r="G24" s="265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76"/>
      <c r="AF24" s="116"/>
    </row>
    <row r="25" spans="1:32" s="17" customFormat="1" ht="13.5" customHeight="1">
      <c r="A25" s="210"/>
      <c r="B25" s="215"/>
      <c r="C25" s="300"/>
      <c r="D25" s="313" t="s">
        <v>171</v>
      </c>
      <c r="E25" s="245"/>
      <c r="F25" s="245"/>
      <c r="G25" s="265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76"/>
      <c r="AF25" s="116"/>
    </row>
    <row r="26" spans="1:32" s="17" customFormat="1" ht="13.5" customHeight="1">
      <c r="A26" s="210"/>
      <c r="B26" s="215"/>
      <c r="C26" s="300"/>
      <c r="D26" s="214" t="s">
        <v>170</v>
      </c>
      <c r="E26" s="214"/>
      <c r="F26" s="214"/>
      <c r="G26" s="280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76"/>
      <c r="AF26" s="116"/>
    </row>
    <row r="27" spans="1:32" s="17" customFormat="1" ht="13.5" customHeight="1">
      <c r="A27" s="210"/>
      <c r="B27" s="215"/>
      <c r="C27" s="211" t="s">
        <v>204</v>
      </c>
      <c r="D27" s="214"/>
      <c r="E27" s="214"/>
      <c r="F27" s="214"/>
      <c r="G27" s="280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76"/>
      <c r="AF27" s="116"/>
    </row>
    <row r="28" spans="1:32" s="17" customFormat="1" ht="13.5" customHeight="1">
      <c r="A28" s="210"/>
      <c r="B28" s="215"/>
      <c r="C28" s="211" t="s">
        <v>205</v>
      </c>
      <c r="D28" s="214"/>
      <c r="E28" s="214"/>
      <c r="F28" s="214"/>
      <c r="G28" s="280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76"/>
      <c r="AF28" s="116"/>
    </row>
    <row r="29" spans="1:32" s="17" customFormat="1" ht="13.5" customHeight="1">
      <c r="A29" s="210"/>
      <c r="B29" s="215"/>
      <c r="C29" s="211" t="s">
        <v>206</v>
      </c>
      <c r="D29" s="214"/>
      <c r="E29" s="214"/>
      <c r="F29" s="214"/>
      <c r="G29" s="280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76"/>
      <c r="AF29" s="116"/>
    </row>
    <row r="30" spans="1:32" s="17" customFormat="1" ht="13.5" customHeight="1">
      <c r="A30" s="210"/>
      <c r="B30" s="215"/>
      <c r="C30" s="211" t="s">
        <v>207</v>
      </c>
      <c r="D30" s="214"/>
      <c r="E30" s="214"/>
      <c r="F30" s="214"/>
      <c r="G30" s="280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76"/>
      <c r="AF30" s="116"/>
    </row>
    <row r="31" spans="1:32" s="17" customFormat="1" ht="13.5" customHeight="1">
      <c r="A31" s="210"/>
      <c r="B31" s="215"/>
      <c r="C31" s="211" t="s">
        <v>146</v>
      </c>
      <c r="D31" s="214"/>
      <c r="E31" s="214"/>
      <c r="F31" s="214"/>
      <c r="G31" s="280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76"/>
      <c r="AF31" s="116"/>
    </row>
    <row r="32" spans="1:32" s="17" customFormat="1" ht="13.5" customHeight="1">
      <c r="A32" s="210"/>
      <c r="B32" s="215"/>
      <c r="C32" s="211" t="s">
        <v>143</v>
      </c>
      <c r="D32" s="214"/>
      <c r="E32" s="214"/>
      <c r="F32" s="214"/>
      <c r="G32" s="280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76"/>
      <c r="AF32" s="116"/>
    </row>
    <row r="33" spans="1:32" s="17" customFormat="1" ht="13.5" customHeight="1">
      <c r="A33" s="210"/>
      <c r="B33" s="215"/>
      <c r="C33" s="245" t="s">
        <v>169</v>
      </c>
      <c r="D33" s="245"/>
      <c r="E33" s="245"/>
      <c r="F33" s="245"/>
      <c r="G33" s="265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76"/>
      <c r="AF33" s="116"/>
    </row>
    <row r="34" spans="1:32" s="17" customFormat="1" ht="13.5" customHeight="1">
      <c r="A34" s="210"/>
      <c r="B34" s="215"/>
      <c r="C34" s="300"/>
      <c r="D34" s="245" t="s">
        <v>168</v>
      </c>
      <c r="E34" s="245"/>
      <c r="F34" s="245"/>
      <c r="G34" s="265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76"/>
      <c r="AF34" s="116"/>
    </row>
    <row r="35" spans="1:32" s="17" customFormat="1" ht="13.5" customHeight="1">
      <c r="A35" s="210"/>
      <c r="B35" s="215"/>
      <c r="C35" s="300"/>
      <c r="D35" s="245" t="s">
        <v>111</v>
      </c>
      <c r="E35" s="245"/>
      <c r="F35" s="245"/>
      <c r="G35" s="265"/>
      <c r="H35" s="22" t="s">
        <v>80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76"/>
      <c r="AF35" s="116"/>
    </row>
    <row r="36" spans="1:32" s="17" customFormat="1" ht="13.5" customHeight="1" thickBot="1">
      <c r="A36" s="210"/>
      <c r="B36" s="309" t="s">
        <v>65</v>
      </c>
      <c r="C36" s="310"/>
      <c r="D36" s="310"/>
      <c r="E36" s="310"/>
      <c r="F36" s="310"/>
      <c r="G36" s="311"/>
      <c r="H36" s="22"/>
      <c r="I36" s="23" t="s">
        <v>80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3" t="s">
        <v>167</v>
      </c>
      <c r="B37" s="206" t="s">
        <v>166</v>
      </c>
      <c r="C37" s="207"/>
      <c r="D37" s="207"/>
      <c r="E37" s="207"/>
      <c r="F37" s="207"/>
      <c r="G37" s="207"/>
      <c r="H37" s="25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7"/>
    </row>
    <row r="38" spans="1:32" s="17" customFormat="1" ht="13.5" customHeight="1">
      <c r="A38" s="204"/>
      <c r="B38" s="300"/>
      <c r="C38" s="193" t="s">
        <v>165</v>
      </c>
      <c r="D38" s="194"/>
      <c r="E38" s="194"/>
      <c r="F38" s="194"/>
      <c r="G38" s="194"/>
      <c r="H38" s="22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87"/>
      <c r="AF38" s="115"/>
    </row>
    <row r="39" spans="1:32" s="17" customFormat="1" ht="13.5" customHeight="1">
      <c r="A39" s="204"/>
      <c r="B39" s="300"/>
      <c r="C39" s="261"/>
      <c r="D39" s="194" t="s">
        <v>68</v>
      </c>
      <c r="E39" s="194"/>
      <c r="F39" s="194"/>
      <c r="G39" s="250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87"/>
      <c r="AF39" s="115"/>
    </row>
    <row r="40" spans="1:32" s="17" customFormat="1" ht="13.5" customHeight="1">
      <c r="A40" s="204"/>
      <c r="B40" s="300"/>
      <c r="C40" s="262"/>
      <c r="D40" s="194" t="s">
        <v>164</v>
      </c>
      <c r="E40" s="194"/>
      <c r="F40" s="194"/>
      <c r="G40" s="250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87"/>
      <c r="AF40" s="115"/>
    </row>
    <row r="41" spans="1:32" s="17" customFormat="1" ht="13.5" customHeight="1">
      <c r="A41" s="204"/>
      <c r="B41" s="300"/>
      <c r="C41" s="262"/>
      <c r="D41" s="194" t="s">
        <v>163</v>
      </c>
      <c r="E41" s="194"/>
      <c r="F41" s="194"/>
      <c r="G41" s="250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87"/>
      <c r="AF41" s="115"/>
    </row>
    <row r="42" spans="1:32" s="17" customFormat="1" ht="13.5" customHeight="1">
      <c r="A42" s="204"/>
      <c r="B42" s="300"/>
      <c r="C42" s="262"/>
      <c r="D42" s="193" t="s">
        <v>162</v>
      </c>
      <c r="E42" s="194"/>
      <c r="F42" s="194"/>
      <c r="G42" s="250"/>
      <c r="H42" s="22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87"/>
      <c r="AF42" s="115"/>
    </row>
    <row r="43" spans="1:32" s="17" customFormat="1" ht="13.5" customHeight="1">
      <c r="A43" s="204"/>
      <c r="B43" s="300"/>
      <c r="C43" s="262"/>
      <c r="D43" s="194" t="s">
        <v>70</v>
      </c>
      <c r="E43" s="194"/>
      <c r="F43" s="194"/>
      <c r="G43" s="250"/>
      <c r="H43" s="22" t="s">
        <v>80</v>
      </c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87"/>
      <c r="AF43" s="115"/>
    </row>
    <row r="44" spans="1:32" s="17" customFormat="1" ht="13.5" customHeight="1">
      <c r="A44" s="204"/>
      <c r="B44" s="300"/>
      <c r="C44" s="263"/>
      <c r="D44" s="194" t="s">
        <v>208</v>
      </c>
      <c r="E44" s="194"/>
      <c r="F44" s="194"/>
      <c r="G44" s="250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87"/>
      <c r="AF44" s="115"/>
    </row>
    <row r="45" spans="1:32" s="17" customFormat="1" ht="13.5" customHeight="1">
      <c r="A45" s="204"/>
      <c r="B45" s="300"/>
      <c r="C45" s="193" t="s">
        <v>161</v>
      </c>
      <c r="D45" s="194"/>
      <c r="E45" s="194"/>
      <c r="F45" s="194"/>
      <c r="G45" s="250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87"/>
      <c r="AF45" s="115"/>
    </row>
    <row r="46" spans="1:32" s="17" customFormat="1" ht="13.5" customHeight="1">
      <c r="A46" s="204"/>
      <c r="B46" s="300"/>
      <c r="C46" s="261"/>
      <c r="D46" s="193" t="s">
        <v>160</v>
      </c>
      <c r="E46" s="194"/>
      <c r="F46" s="194"/>
      <c r="G46" s="250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87"/>
      <c r="AF46" s="115"/>
    </row>
    <row r="47" spans="1:32" s="17" customFormat="1" ht="13.5" customHeight="1">
      <c r="A47" s="204"/>
      <c r="B47" s="300"/>
      <c r="C47" s="262"/>
      <c r="D47" s="193" t="s">
        <v>159</v>
      </c>
      <c r="E47" s="194"/>
      <c r="F47" s="194"/>
      <c r="G47" s="250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87"/>
      <c r="AF47" s="115"/>
    </row>
    <row r="48" spans="1:32" s="17" customFormat="1" ht="13.5" customHeight="1">
      <c r="A48" s="204"/>
      <c r="B48" s="300"/>
      <c r="C48" s="262"/>
      <c r="D48" s="193" t="s">
        <v>158</v>
      </c>
      <c r="E48" s="194"/>
      <c r="F48" s="194"/>
      <c r="G48" s="250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87"/>
      <c r="AF48" s="115"/>
    </row>
    <row r="49" spans="1:32" s="17" customFormat="1" ht="13.5" customHeight="1">
      <c r="A49" s="204"/>
      <c r="B49" s="300"/>
      <c r="C49" s="262"/>
      <c r="D49" s="193" t="s">
        <v>157</v>
      </c>
      <c r="E49" s="194"/>
      <c r="F49" s="194"/>
      <c r="G49" s="250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87"/>
      <c r="AF49" s="115"/>
    </row>
    <row r="50" spans="1:32" s="17" customFormat="1" ht="13.5" customHeight="1">
      <c r="A50" s="204"/>
      <c r="B50" s="300"/>
      <c r="C50" s="262"/>
      <c r="D50" s="193" t="s">
        <v>156</v>
      </c>
      <c r="E50" s="194"/>
      <c r="F50" s="194"/>
      <c r="G50" s="250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87"/>
      <c r="AF50" s="115"/>
    </row>
    <row r="51" spans="1:32" s="17" customFormat="1" ht="13.5" customHeight="1">
      <c r="A51" s="204"/>
      <c r="B51" s="300"/>
      <c r="C51" s="262"/>
      <c r="D51" s="193" t="s">
        <v>155</v>
      </c>
      <c r="E51" s="194"/>
      <c r="F51" s="194"/>
      <c r="G51" s="250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87"/>
      <c r="AF51" s="115"/>
    </row>
    <row r="52" spans="1:32" s="17" customFormat="1" ht="13.5" customHeight="1">
      <c r="A52" s="204"/>
      <c r="B52" s="300"/>
      <c r="C52" s="262"/>
      <c r="D52" s="193" t="s">
        <v>154</v>
      </c>
      <c r="E52" s="194"/>
      <c r="F52" s="194"/>
      <c r="G52" s="250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87"/>
      <c r="AF52" s="115"/>
    </row>
    <row r="53" spans="1:32" s="17" customFormat="1" ht="13.5" customHeight="1">
      <c r="A53" s="204"/>
      <c r="B53" s="300"/>
      <c r="C53" s="262"/>
      <c r="D53" s="193" t="s">
        <v>153</v>
      </c>
      <c r="E53" s="194"/>
      <c r="F53" s="194"/>
      <c r="G53" s="250"/>
      <c r="H53" s="22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87"/>
      <c r="AF53" s="115"/>
    </row>
    <row r="54" spans="1:32" s="17" customFormat="1" ht="13.5" customHeight="1">
      <c r="A54" s="204"/>
      <c r="B54" s="300"/>
      <c r="C54" s="262"/>
      <c r="D54" s="193" t="s">
        <v>152</v>
      </c>
      <c r="E54" s="194"/>
      <c r="F54" s="194"/>
      <c r="G54" s="250"/>
      <c r="H54" s="22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87"/>
      <c r="AF54" s="115"/>
    </row>
    <row r="55" spans="1:32" s="17" customFormat="1" ht="13.5" customHeight="1">
      <c r="A55" s="204"/>
      <c r="B55" s="300"/>
      <c r="C55" s="262"/>
      <c r="D55" s="193" t="s">
        <v>151</v>
      </c>
      <c r="E55" s="194"/>
      <c r="F55" s="194"/>
      <c r="G55" s="250"/>
      <c r="H55" s="22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87"/>
      <c r="AF55" s="115"/>
    </row>
    <row r="56" spans="1:32" s="17" customFormat="1" ht="13.5" customHeight="1">
      <c r="A56" s="204"/>
      <c r="B56" s="300"/>
      <c r="C56" s="262"/>
      <c r="D56" s="193" t="s">
        <v>150</v>
      </c>
      <c r="E56" s="194"/>
      <c r="F56" s="194"/>
      <c r="G56" s="250"/>
      <c r="H56" s="22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87"/>
      <c r="AF56" s="115"/>
    </row>
    <row r="57" spans="1:32" s="17" customFormat="1" ht="13.5" customHeight="1">
      <c r="A57" s="204"/>
      <c r="B57" s="300"/>
      <c r="C57" s="263"/>
      <c r="D57" s="191" t="s">
        <v>149</v>
      </c>
      <c r="E57" s="192"/>
      <c r="F57" s="192"/>
      <c r="G57" s="288"/>
      <c r="H57" s="22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87"/>
      <c r="AF57" s="115"/>
    </row>
    <row r="58" spans="1:32" s="17" customFormat="1" ht="13.5" customHeight="1">
      <c r="A58" s="204"/>
      <c r="B58" s="300"/>
      <c r="C58" s="193" t="s">
        <v>148</v>
      </c>
      <c r="D58" s="194"/>
      <c r="E58" s="194"/>
      <c r="F58" s="194"/>
      <c r="G58" s="250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</row>
    <row r="59" spans="1:32" s="17" customFormat="1" ht="13.5" customHeight="1">
      <c r="A59" s="204"/>
      <c r="B59" s="300"/>
      <c r="C59" s="261"/>
      <c r="D59" s="194" t="s">
        <v>147</v>
      </c>
      <c r="E59" s="194"/>
      <c r="F59" s="194"/>
      <c r="G59" s="250"/>
      <c r="H59" s="22" t="s">
        <v>80</v>
      </c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87"/>
      <c r="AF59" s="115"/>
    </row>
    <row r="60" spans="1:32" s="17" customFormat="1" ht="13.5" customHeight="1">
      <c r="A60" s="204"/>
      <c r="B60" s="300"/>
      <c r="C60" s="263"/>
      <c r="D60" s="194" t="s">
        <v>209</v>
      </c>
      <c r="E60" s="194"/>
      <c r="F60" s="194"/>
      <c r="G60" s="250"/>
      <c r="H60" s="22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87"/>
      <c r="AF60" s="115"/>
    </row>
    <row r="61" spans="1:32" s="17" customFormat="1" ht="13.5" customHeight="1">
      <c r="A61" s="204"/>
      <c r="B61" s="300"/>
      <c r="C61" s="193" t="s">
        <v>146</v>
      </c>
      <c r="D61" s="194"/>
      <c r="E61" s="194"/>
      <c r="F61" s="194"/>
      <c r="G61" s="250"/>
      <c r="H61" s="22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87"/>
      <c r="AF61" s="115"/>
    </row>
    <row r="62" spans="1:32" s="17" customFormat="1" ht="13.5" customHeight="1">
      <c r="A62" s="204"/>
      <c r="B62" s="300"/>
      <c r="C62" s="261"/>
      <c r="D62" s="194" t="s">
        <v>145</v>
      </c>
      <c r="E62" s="194"/>
      <c r="F62" s="194"/>
      <c r="G62" s="250"/>
      <c r="H62" s="22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76"/>
      <c r="AE62" s="87"/>
      <c r="AF62" s="115"/>
    </row>
    <row r="63" spans="1:32" s="17" customFormat="1" ht="13.5" customHeight="1">
      <c r="A63" s="204"/>
      <c r="B63" s="300"/>
      <c r="C63" s="263"/>
      <c r="D63" s="194" t="s">
        <v>144</v>
      </c>
      <c r="E63" s="194"/>
      <c r="F63" s="194"/>
      <c r="G63" s="250"/>
      <c r="H63" s="22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76"/>
      <c r="AE63" s="87"/>
      <c r="AF63" s="115"/>
    </row>
    <row r="64" spans="1:32" s="17" customFormat="1" ht="13.5" customHeight="1">
      <c r="A64" s="204"/>
      <c r="B64" s="300"/>
      <c r="C64" s="193" t="s">
        <v>143</v>
      </c>
      <c r="D64" s="194"/>
      <c r="E64" s="194"/>
      <c r="F64" s="194"/>
      <c r="G64" s="194"/>
      <c r="H64" s="22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87"/>
      <c r="AF64" s="115"/>
    </row>
    <row r="65" spans="1:32" s="17" customFormat="1" ht="13.5" customHeight="1">
      <c r="A65" s="204"/>
      <c r="B65" s="300"/>
      <c r="C65" s="79"/>
      <c r="D65" s="194" t="s">
        <v>142</v>
      </c>
      <c r="E65" s="194"/>
      <c r="F65" s="194"/>
      <c r="G65" s="250"/>
      <c r="H65" s="22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76"/>
      <c r="AF65" s="115"/>
    </row>
    <row r="66" spans="1:32" s="17" customFormat="1" ht="13.5" customHeight="1">
      <c r="A66" s="204"/>
      <c r="B66" s="300"/>
      <c r="C66" s="193" t="s">
        <v>124</v>
      </c>
      <c r="D66" s="194"/>
      <c r="E66" s="194"/>
      <c r="F66" s="194"/>
      <c r="G66" s="250"/>
      <c r="H66" s="22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87"/>
      <c r="AF66" s="115"/>
    </row>
    <row r="67" spans="1:32" s="17" customFormat="1" ht="13.5" customHeight="1" thickBot="1">
      <c r="A67" s="204"/>
      <c r="B67" s="300"/>
      <c r="C67" s="99"/>
      <c r="D67" s="314" t="s">
        <v>99</v>
      </c>
      <c r="E67" s="315"/>
      <c r="F67" s="315"/>
      <c r="G67" s="316"/>
      <c r="H67" s="88"/>
      <c r="I67" s="23" t="s">
        <v>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87"/>
      <c r="AF67" s="115"/>
    </row>
    <row r="68" spans="1:32" s="17" customFormat="1" ht="24" customHeight="1">
      <c r="A68" s="195" t="s">
        <v>141</v>
      </c>
      <c r="B68" s="197"/>
      <c r="C68" s="198"/>
      <c r="D68" s="198"/>
      <c r="E68" s="198"/>
      <c r="F68" s="199"/>
      <c r="G68" s="35" t="s">
        <v>140</v>
      </c>
      <c r="H68" s="36" t="s">
        <v>81</v>
      </c>
      <c r="I68" s="37" t="s">
        <v>82</v>
      </c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8"/>
    </row>
    <row r="69" spans="1:32" s="17" customFormat="1" ht="27" customHeight="1">
      <c r="A69" s="196"/>
      <c r="B69" s="200"/>
      <c r="C69" s="201"/>
      <c r="D69" s="201"/>
      <c r="E69" s="201"/>
      <c r="F69" s="202"/>
      <c r="G69" s="39" t="s">
        <v>138</v>
      </c>
      <c r="H69" s="40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42"/>
    </row>
    <row r="70" spans="1:32" s="17" customFormat="1" ht="27" customHeight="1">
      <c r="A70" s="196"/>
      <c r="B70" s="200"/>
      <c r="C70" s="201"/>
      <c r="D70" s="201"/>
      <c r="E70" s="201"/>
      <c r="F70" s="202"/>
      <c r="G70" s="39" t="s">
        <v>137</v>
      </c>
      <c r="H70" s="43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5"/>
    </row>
    <row r="71" spans="1:32" s="17" customFormat="1" ht="24.75" customHeight="1">
      <c r="A71" s="196"/>
      <c r="B71" s="200"/>
      <c r="C71" s="201"/>
      <c r="D71" s="201"/>
      <c r="E71" s="201"/>
      <c r="F71" s="202"/>
      <c r="G71" s="46" t="s">
        <v>136</v>
      </c>
      <c r="H71" s="40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42"/>
    </row>
    <row r="72" spans="1:32" s="17" customFormat="1" ht="24.75" customHeight="1">
      <c r="A72" s="235" t="s">
        <v>135</v>
      </c>
      <c r="B72" s="237" t="s">
        <v>134</v>
      </c>
      <c r="C72" s="237"/>
      <c r="D72" s="237"/>
      <c r="E72" s="237"/>
      <c r="F72" s="238" t="str">
        <f>GetBugSheetName()</f>
        <v>Summary_</v>
      </c>
      <c r="G72" s="239"/>
      <c r="H72" s="60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4"/>
    </row>
    <row r="73" spans="1:32" s="17" customFormat="1" ht="36" customHeight="1" thickBot="1">
      <c r="A73" s="236"/>
      <c r="B73" s="223" t="s">
        <v>133</v>
      </c>
      <c r="C73" s="224"/>
      <c r="D73" s="224"/>
      <c r="E73" s="225"/>
      <c r="F73" s="223"/>
      <c r="G73" s="240"/>
      <c r="H73" s="61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 t="str">
        <f t="shared" ref="S73:AF73" si="1">IF(S72="","",(SUM(LEN(S72)-LEN(SUBSTITUTE(S72,",","")))/LEN(",")) + 1 )</f>
        <v/>
      </c>
      <c r="T73" s="55" t="str">
        <f t="shared" si="1"/>
        <v/>
      </c>
      <c r="U73" s="55" t="str">
        <f t="shared" si="1"/>
        <v/>
      </c>
      <c r="V73" s="55" t="str">
        <f t="shared" si="1"/>
        <v/>
      </c>
      <c r="W73" s="55" t="str">
        <f t="shared" si="1"/>
        <v/>
      </c>
      <c r="X73" s="55" t="str">
        <f t="shared" si="1"/>
        <v/>
      </c>
      <c r="Y73" s="55" t="str">
        <f t="shared" si="1"/>
        <v/>
      </c>
      <c r="Z73" s="55" t="str">
        <f t="shared" si="1"/>
        <v/>
      </c>
      <c r="AA73" s="55" t="str">
        <f t="shared" si="1"/>
        <v/>
      </c>
      <c r="AB73" s="55" t="str">
        <f t="shared" si="1"/>
        <v/>
      </c>
      <c r="AC73" s="55" t="str">
        <f t="shared" si="1"/>
        <v/>
      </c>
      <c r="AD73" s="55" t="str">
        <f t="shared" si="1"/>
        <v/>
      </c>
      <c r="AE73" s="55" t="str">
        <f t="shared" si="1"/>
        <v/>
      </c>
      <c r="AF73" s="56" t="str">
        <f t="shared" si="1"/>
        <v/>
      </c>
    </row>
    <row r="74" spans="1:32" s="17" customFormat="1">
      <c r="H74" s="47"/>
      <c r="I74" s="47"/>
      <c r="J74" s="47"/>
      <c r="K74" s="47"/>
      <c r="L74" s="47"/>
      <c r="M74" s="47"/>
      <c r="N74" s="48"/>
      <c r="O74" s="49"/>
      <c r="P74" s="47"/>
      <c r="Q74" s="47"/>
      <c r="R74" s="47"/>
      <c r="S74" s="47"/>
      <c r="T74" s="47"/>
      <c r="U74" s="47"/>
      <c r="V74" s="47"/>
    </row>
  </sheetData>
  <sheetProtection insertRows="0"/>
  <protectedRanges>
    <protectedRange sqref="H68:AF72" name="Range3_1_1"/>
    <protectedRange sqref="H4:AF4 AD62:AD63 AE5:AF57 AE60:AF67" name="Range2_1_1"/>
    <protectedRange sqref="B1:O1 P2 T1 B2:E2" name="Range1_1_1"/>
    <protectedRange sqref="P2 AC2:AF2" name="Range1_1_1_1"/>
    <protectedRange sqref="B36 D36:G36" name="Range2_1_2"/>
    <protectedRange sqref="AC1:AF1" name="Range1_1_1_3"/>
    <protectedRange sqref="C61:G63 B61:B67 B37:C57 D37:G45 B58:G60" name="Range2_1_3_1"/>
    <protectedRange sqref="C64:G65" name="Range2_1_8"/>
    <protectedRange sqref="C66:G66" name="Range2_1_8_1"/>
    <protectedRange sqref="C67:G67" name="Range2_1_11"/>
    <protectedRange sqref="D46:G57" name="Range2_1_30_1"/>
    <protectedRange sqref="H64:AD67 H62:AC63 H5:AD57 H60:AD61 H58:AF58 H59:AC59" name="Range2_1_1_1_1"/>
  </protectedRanges>
  <mergeCells count="98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36"/>
    <mergeCell ref="B4:G4"/>
    <mergeCell ref="B5:G5"/>
    <mergeCell ref="C6:G6"/>
    <mergeCell ref="C7:G7"/>
    <mergeCell ref="B8:B35"/>
    <mergeCell ref="C8:G8"/>
    <mergeCell ref="C9:G9"/>
    <mergeCell ref="C10:G10"/>
    <mergeCell ref="C11:G11"/>
    <mergeCell ref="C21:G21"/>
    <mergeCell ref="C12:G12"/>
    <mergeCell ref="C13:C14"/>
    <mergeCell ref="D13:G13"/>
    <mergeCell ref="D14:G14"/>
    <mergeCell ref="C15:G15"/>
    <mergeCell ref="C16:G16"/>
    <mergeCell ref="C17:C19"/>
    <mergeCell ref="D17:G17"/>
    <mergeCell ref="D18:G18"/>
    <mergeCell ref="D19:G19"/>
    <mergeCell ref="C20:G20"/>
    <mergeCell ref="C32:G32"/>
    <mergeCell ref="C22:C26"/>
    <mergeCell ref="D22:G22"/>
    <mergeCell ref="D23:G23"/>
    <mergeCell ref="D24:G24"/>
    <mergeCell ref="D25:G25"/>
    <mergeCell ref="D26:G26"/>
    <mergeCell ref="C27:G27"/>
    <mergeCell ref="C28:G28"/>
    <mergeCell ref="C29:G29"/>
    <mergeCell ref="C30:G30"/>
    <mergeCell ref="C31:G31"/>
    <mergeCell ref="D44:G44"/>
    <mergeCell ref="C33:G33"/>
    <mergeCell ref="C34:C35"/>
    <mergeCell ref="D34:G34"/>
    <mergeCell ref="D35:G35"/>
    <mergeCell ref="B36:G36"/>
    <mergeCell ref="B37:G37"/>
    <mergeCell ref="B38:B67"/>
    <mergeCell ref="C38:G38"/>
    <mergeCell ref="C39:C44"/>
    <mergeCell ref="D39:G39"/>
    <mergeCell ref="D40:G40"/>
    <mergeCell ref="D41:G41"/>
    <mergeCell ref="D42:G42"/>
    <mergeCell ref="D43:G43"/>
    <mergeCell ref="C45:G45"/>
    <mergeCell ref="C64:G64"/>
    <mergeCell ref="C46:C57"/>
    <mergeCell ref="D46:G46"/>
    <mergeCell ref="D47:G47"/>
    <mergeCell ref="D48:G48"/>
    <mergeCell ref="D49:G49"/>
    <mergeCell ref="D50:G50"/>
    <mergeCell ref="D51:G51"/>
    <mergeCell ref="D52:G52"/>
    <mergeCell ref="D53:G53"/>
    <mergeCell ref="D60:G60"/>
    <mergeCell ref="C61:G61"/>
    <mergeCell ref="C62:C63"/>
    <mergeCell ref="D62:G62"/>
    <mergeCell ref="D63:G63"/>
    <mergeCell ref="C66:G66"/>
    <mergeCell ref="D67:G67"/>
    <mergeCell ref="A68:A71"/>
    <mergeCell ref="B68:F68"/>
    <mergeCell ref="B69:F69"/>
    <mergeCell ref="B70:F70"/>
    <mergeCell ref="B71:F71"/>
    <mergeCell ref="A37:A67"/>
    <mergeCell ref="D65:G65"/>
    <mergeCell ref="D54:G54"/>
    <mergeCell ref="D55:G55"/>
    <mergeCell ref="D56:G56"/>
    <mergeCell ref="D57:G57"/>
    <mergeCell ref="C58:G58"/>
    <mergeCell ref="C59:C60"/>
    <mergeCell ref="D59:G59"/>
    <mergeCell ref="A72:A73"/>
    <mergeCell ref="B72:E72"/>
    <mergeCell ref="F72:G72"/>
    <mergeCell ref="B73:E73"/>
    <mergeCell ref="F73:G73"/>
  </mergeCells>
  <conditionalFormatting sqref="AD5:AD61 AD64:AD67 AE58:AF58 H5:AC67">
    <cfRule type="expression" dxfId="19" priority="1" stopIfTrue="1">
      <formula>H$71="NA"</formula>
    </cfRule>
    <cfRule type="expression" dxfId="18" priority="2" stopIfTrue="1">
      <formula>H$71="NG"</formula>
    </cfRule>
  </conditionalFormatting>
  <dataValidations count="10">
    <dataValidation type="list" allowBlank="1" showInputMessage="1" showErrorMessage="1" sqref="H68:AF68">
      <formula1>"N, A, B"</formula1>
    </dataValidation>
    <dataValidation type="list" allowBlank="1" showInputMessage="1" showErrorMessage="1" sqref="H71:AF71">
      <formula1>"OK, NG, NA, PT"</formula1>
    </dataValidation>
    <dataValidation allowBlank="1" showInputMessage="1" showErrorMessage="1" promptTitle="PCL sheet name" prompt=" " sqref="F72:G72"/>
    <dataValidation allowBlank="1" showInputMessage="1" showErrorMessage="1" promptTitle="Bug ID" prompt="Unique ID throughout the project._x000a_For every Bug found during Test as well as Re-Test, a new Bug ID needs to be entered here (as a comma seperated value)" sqref="B72:E7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71"/>
    <dataValidation allowBlank="1" showInputMessage="1" showErrorMessage="1" promptTitle="Testing Date" prompt="Date on which test was performed in yyyy/mm/dd format" sqref="G70"/>
    <dataValidation allowBlank="1" showInputMessage="1" showErrorMessage="1" promptTitle="Enter" prompt="Name of the person who performed the test" sqref="G69"/>
    <dataValidation allowBlank="1" showInputMessage="1" showErrorMessage="1" promptTitle="Condition Type" prompt="N : Normal _x000a_A : Abnormal _x000a_B : Boundary" sqref="G68"/>
    <dataValidation allowBlank="1" showInputMessage="1" showErrorMessage="1" promptTitle="Check points" prompt="that need / need not be executed" sqref="A37:A67"/>
    <dataValidation allowBlank="1" showInputMessage="1" showErrorMessage="1" promptTitle="Input conditions" prompt="that need to be checked." sqref="A4:A36"/>
  </dataValidations>
  <printOptions horizontalCentered="1"/>
  <pageMargins left="0.55118110236220474" right="0.46" top="0.98425196850393704" bottom="0.98425196850393704" header="0.51181102362204722" footer="0.51181102362204722"/>
  <pageSetup paperSize="9" scale="52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F71"/>
  <sheetViews>
    <sheetView view="pageBreakPreview" zoomScale="85" zoomScaleNormal="70" zoomScaleSheetLayoutView="85" workbookViewId="0">
      <pane xSplit="7" ySplit="3" topLeftCell="H47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S45" sqref="S4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210</v>
      </c>
      <c r="C2" s="221"/>
      <c r="D2" s="221"/>
      <c r="E2" s="222"/>
      <c r="F2" s="220" t="s">
        <v>211</v>
      </c>
      <c r="G2" s="221"/>
      <c r="H2" s="222"/>
      <c r="I2" s="223" t="s">
        <v>84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212</v>
      </c>
      <c r="AB2" s="233"/>
      <c r="AC2" s="220" t="s">
        <v>256</v>
      </c>
      <c r="AD2" s="221"/>
      <c r="AE2" s="221"/>
      <c r="AF2" s="234"/>
    </row>
    <row r="3" spans="1:32" ht="37.5" customHeight="1" thickBot="1">
      <c r="A3" s="66" t="s">
        <v>195</v>
      </c>
      <c r="B3" s="10"/>
      <c r="C3" s="10"/>
      <c r="D3" s="10"/>
      <c r="E3" s="10"/>
      <c r="F3" s="10"/>
      <c r="G3" s="65" t="s">
        <v>194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193</v>
      </c>
      <c r="B4" s="299" t="s">
        <v>214</v>
      </c>
      <c r="C4" s="321"/>
      <c r="D4" s="321"/>
      <c r="E4" s="321"/>
      <c r="F4" s="321"/>
      <c r="G4" s="322"/>
      <c r="H4" s="118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84</v>
      </c>
      <c r="C5" s="291"/>
      <c r="D5" s="291"/>
      <c r="E5" s="291"/>
      <c r="F5" s="291"/>
      <c r="G5" s="292"/>
      <c r="H5" s="119" t="s">
        <v>215</v>
      </c>
      <c r="I5" s="19" t="s">
        <v>215</v>
      </c>
      <c r="J5" s="19" t="s">
        <v>215</v>
      </c>
      <c r="K5" s="19" t="s">
        <v>215</v>
      </c>
      <c r="L5" s="19" t="s">
        <v>215</v>
      </c>
      <c r="M5" s="19" t="s">
        <v>215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</row>
    <row r="6" spans="1:32" s="17" customFormat="1" ht="13.5" customHeight="1">
      <c r="A6" s="210"/>
      <c r="B6" s="254"/>
      <c r="C6" s="245" t="s">
        <v>216</v>
      </c>
      <c r="D6" s="245"/>
      <c r="E6" s="245"/>
      <c r="F6" s="245"/>
      <c r="G6" s="265"/>
      <c r="H6" s="1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0"/>
      <c r="B7" s="215"/>
      <c r="C7" s="76"/>
      <c r="D7" s="120"/>
      <c r="E7" s="211" t="s">
        <v>275</v>
      </c>
      <c r="F7" s="214"/>
      <c r="G7" s="280"/>
      <c r="H7" s="119" t="s">
        <v>215</v>
      </c>
      <c r="I7" s="19" t="s">
        <v>215</v>
      </c>
      <c r="J7" s="19" t="s">
        <v>215</v>
      </c>
      <c r="K7" s="19" t="s">
        <v>215</v>
      </c>
      <c r="L7" s="19" t="s">
        <v>215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</row>
    <row r="8" spans="1:32" s="17" customFormat="1" ht="13.5" customHeight="1">
      <c r="A8" s="210"/>
      <c r="B8" s="215"/>
      <c r="C8" s="211" t="s">
        <v>58</v>
      </c>
      <c r="D8" s="214"/>
      <c r="E8" s="214"/>
      <c r="F8" s="214"/>
      <c r="G8" s="280"/>
      <c r="H8" s="1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0"/>
      <c r="B9" s="215"/>
      <c r="C9" s="76"/>
      <c r="D9" s="120"/>
      <c r="E9" s="330" t="s">
        <v>263</v>
      </c>
      <c r="F9" s="245"/>
      <c r="G9" s="265"/>
      <c r="H9" s="119" t="s">
        <v>80</v>
      </c>
      <c r="I9" s="19" t="s">
        <v>80</v>
      </c>
      <c r="J9" s="19" t="s">
        <v>80</v>
      </c>
      <c r="K9" s="19" t="s">
        <v>80</v>
      </c>
      <c r="L9" s="19" t="s">
        <v>215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</row>
    <row r="10" spans="1:32" s="17" customFormat="1" ht="13.5" customHeight="1">
      <c r="A10" s="210"/>
      <c r="B10" s="215"/>
      <c r="C10" s="245" t="s">
        <v>217</v>
      </c>
      <c r="D10" s="245"/>
      <c r="E10" s="245"/>
      <c r="F10" s="245"/>
      <c r="G10" s="265"/>
      <c r="H10" s="1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10"/>
      <c r="B11" s="215"/>
      <c r="C11" s="300"/>
      <c r="D11" s="211" t="s">
        <v>276</v>
      </c>
      <c r="E11" s="214"/>
      <c r="F11" s="214"/>
      <c r="G11" s="280"/>
      <c r="H11" s="119"/>
      <c r="I11" s="19"/>
      <c r="K11" s="19" t="s">
        <v>215</v>
      </c>
      <c r="L11" s="19" t="s">
        <v>215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0"/>
      <c r="B12" s="215"/>
      <c r="C12" s="300"/>
      <c r="D12" s="245" t="s">
        <v>218</v>
      </c>
      <c r="E12" s="245"/>
      <c r="F12" s="245"/>
      <c r="G12" s="265"/>
      <c r="H12" s="119" t="s">
        <v>215</v>
      </c>
      <c r="I12" s="19" t="s">
        <v>215</v>
      </c>
      <c r="J12" s="19" t="s">
        <v>215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1:32" s="17" customFormat="1" ht="13.5" customHeight="1">
      <c r="A13" s="210"/>
      <c r="B13" s="215"/>
      <c r="C13" s="245" t="s">
        <v>219</v>
      </c>
      <c r="D13" s="245"/>
      <c r="E13" s="245"/>
      <c r="F13" s="245"/>
      <c r="G13" s="265"/>
      <c r="H13" s="1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10"/>
      <c r="B14" s="215"/>
      <c r="C14" s="19"/>
      <c r="D14" s="97"/>
      <c r="E14" s="245" t="s">
        <v>261</v>
      </c>
      <c r="F14" s="245"/>
      <c r="G14" s="265"/>
      <c r="H14" s="119" t="s">
        <v>215</v>
      </c>
      <c r="I14" s="19" t="s">
        <v>215</v>
      </c>
      <c r="J14" s="19" t="s">
        <v>215</v>
      </c>
      <c r="K14" s="19" t="s">
        <v>215</v>
      </c>
      <c r="L14" s="19" t="s">
        <v>215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1:32" s="17" customFormat="1" ht="13.5" customHeight="1">
      <c r="A15" s="210"/>
      <c r="B15" s="215"/>
      <c r="C15" s="245" t="s">
        <v>220</v>
      </c>
      <c r="D15" s="245"/>
      <c r="E15" s="245"/>
      <c r="F15" s="245"/>
      <c r="G15" s="265"/>
      <c r="H15" s="1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10"/>
      <c r="B16" s="215"/>
      <c r="C16" s="300"/>
      <c r="D16" s="237"/>
      <c r="E16" s="328" t="s">
        <v>72</v>
      </c>
      <c r="F16" s="328"/>
      <c r="G16" s="329"/>
      <c r="H16" s="119"/>
      <c r="I16" s="19"/>
      <c r="J16" s="19"/>
      <c r="K16" s="19" t="s">
        <v>215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10"/>
      <c r="B17" s="215"/>
      <c r="C17" s="300"/>
      <c r="D17" s="237"/>
      <c r="E17" s="245" t="s">
        <v>277</v>
      </c>
      <c r="F17" s="245"/>
      <c r="G17" s="265"/>
      <c r="H17" s="119" t="s">
        <v>215</v>
      </c>
      <c r="I17" s="19" t="s">
        <v>215</v>
      </c>
      <c r="J17" s="19" t="s">
        <v>215</v>
      </c>
      <c r="K17" s="19"/>
      <c r="L17" s="19" t="s">
        <v>215</v>
      </c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</row>
    <row r="18" spans="1:32" s="17" customFormat="1" ht="13.5" customHeight="1">
      <c r="A18" s="210"/>
      <c r="B18" s="215"/>
      <c r="C18" s="245" t="s">
        <v>221</v>
      </c>
      <c r="D18" s="245"/>
      <c r="E18" s="245"/>
      <c r="F18" s="245"/>
      <c r="G18" s="265"/>
      <c r="H18" s="1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10"/>
      <c r="B19" s="215"/>
      <c r="C19" s="19"/>
      <c r="D19" s="76"/>
      <c r="E19" s="328" t="s">
        <v>278</v>
      </c>
      <c r="F19" s="328"/>
      <c r="G19" s="329"/>
      <c r="H19" s="119" t="s">
        <v>215</v>
      </c>
      <c r="I19" s="19" t="s">
        <v>215</v>
      </c>
      <c r="J19" s="19" t="s">
        <v>215</v>
      </c>
      <c r="K19" s="19" t="s">
        <v>215</v>
      </c>
      <c r="L19" s="19" t="s">
        <v>80</v>
      </c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</row>
    <row r="20" spans="1:32" s="17" customFormat="1" ht="13.5" customHeight="1">
      <c r="A20" s="210"/>
      <c r="B20" s="215"/>
      <c r="C20" s="19"/>
      <c r="D20" s="245" t="s">
        <v>222</v>
      </c>
      <c r="E20" s="245"/>
      <c r="F20" s="245"/>
      <c r="G20" s="265"/>
      <c r="H20" s="119" t="s">
        <v>215</v>
      </c>
      <c r="I20" s="19" t="s">
        <v>215</v>
      </c>
      <c r="J20" s="19" t="s">
        <v>215</v>
      </c>
      <c r="K20" s="19" t="s">
        <v>215</v>
      </c>
      <c r="L20" s="19" t="s">
        <v>80</v>
      </c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s="17" customFormat="1" ht="13.5" customHeight="1">
      <c r="A21" s="210"/>
      <c r="B21" s="215"/>
      <c r="C21" s="245" t="s">
        <v>223</v>
      </c>
      <c r="D21" s="245"/>
      <c r="E21" s="245"/>
      <c r="F21" s="245"/>
      <c r="G21" s="265"/>
      <c r="H21" s="1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10"/>
      <c r="B22" s="215"/>
      <c r="C22" s="19"/>
      <c r="D22" s="19"/>
      <c r="E22" s="330" t="s">
        <v>279</v>
      </c>
      <c r="F22" s="245"/>
      <c r="G22" s="265"/>
      <c r="H22" s="119" t="s">
        <v>80</v>
      </c>
      <c r="I22" s="19" t="s">
        <v>80</v>
      </c>
      <c r="J22" s="19" t="s">
        <v>80</v>
      </c>
      <c r="K22" s="19"/>
      <c r="L22" s="19" t="s">
        <v>80</v>
      </c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</row>
    <row r="23" spans="1:32" s="17" customFormat="1" ht="13.5" customHeight="1">
      <c r="A23" s="210"/>
      <c r="B23" s="215"/>
      <c r="C23" s="245" t="s">
        <v>224</v>
      </c>
      <c r="D23" s="245"/>
      <c r="E23" s="245"/>
      <c r="F23" s="245"/>
      <c r="G23" s="265"/>
      <c r="H23" s="1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10"/>
      <c r="B24" s="215"/>
      <c r="C24" s="300"/>
      <c r="D24" s="245" t="s">
        <v>225</v>
      </c>
      <c r="E24" s="245"/>
      <c r="F24" s="245"/>
      <c r="G24" s="265"/>
      <c r="H24" s="1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10"/>
      <c r="B25" s="215"/>
      <c r="C25" s="300"/>
      <c r="D25" s="76"/>
      <c r="E25" s="323">
        <v>1996</v>
      </c>
      <c r="F25" s="324"/>
      <c r="G25" s="325"/>
      <c r="H25" s="119" t="s">
        <v>80</v>
      </c>
      <c r="I25" s="19" t="s">
        <v>80</v>
      </c>
      <c r="J25" s="19" t="s">
        <v>80</v>
      </c>
      <c r="K25" s="19" t="s">
        <v>80</v>
      </c>
      <c r="L25" s="19" t="s">
        <v>80</v>
      </c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</row>
    <row r="26" spans="1:32" s="17" customFormat="1" ht="13.5" customHeight="1">
      <c r="A26" s="210"/>
      <c r="B26" s="215"/>
      <c r="C26" s="300"/>
      <c r="D26" s="245" t="s">
        <v>226</v>
      </c>
      <c r="E26" s="245"/>
      <c r="F26" s="245"/>
      <c r="G26" s="265"/>
      <c r="H26" s="1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10"/>
      <c r="B27" s="215"/>
      <c r="C27" s="300"/>
      <c r="D27" s="76"/>
      <c r="E27" s="326">
        <v>2</v>
      </c>
      <c r="F27" s="245"/>
      <c r="G27" s="265"/>
      <c r="H27" s="119" t="s">
        <v>215</v>
      </c>
      <c r="I27" s="19" t="s">
        <v>215</v>
      </c>
      <c r="J27" s="19" t="s">
        <v>215</v>
      </c>
      <c r="K27" s="19" t="s">
        <v>215</v>
      </c>
      <c r="L27" s="19" t="s">
        <v>215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</row>
    <row r="28" spans="1:32" s="17" customFormat="1" ht="13.5" customHeight="1">
      <c r="A28" s="210"/>
      <c r="B28" s="215"/>
      <c r="C28" s="300"/>
      <c r="D28" s="245" t="s">
        <v>227</v>
      </c>
      <c r="E28" s="245"/>
      <c r="F28" s="245"/>
      <c r="G28" s="265"/>
      <c r="H28" s="1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10"/>
      <c r="B29" s="215"/>
      <c r="C29" s="300"/>
      <c r="D29" s="73"/>
      <c r="E29" s="327">
        <v>10</v>
      </c>
      <c r="F29" s="214"/>
      <c r="G29" s="280"/>
      <c r="H29" s="119" t="s">
        <v>215</v>
      </c>
      <c r="I29" s="19" t="s">
        <v>215</v>
      </c>
      <c r="J29" s="19" t="s">
        <v>215</v>
      </c>
      <c r="K29" s="19" t="s">
        <v>215</v>
      </c>
      <c r="L29" s="19" t="s">
        <v>215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</row>
    <row r="30" spans="1:32" s="17" customFormat="1" ht="13.5" customHeight="1">
      <c r="A30" s="210"/>
      <c r="B30" s="215"/>
      <c r="C30" s="245" t="s">
        <v>228</v>
      </c>
      <c r="D30" s="245"/>
      <c r="E30" s="245"/>
      <c r="F30" s="245"/>
      <c r="G30" s="265"/>
      <c r="H30" s="1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10"/>
      <c r="B31" s="215"/>
      <c r="C31" s="300"/>
      <c r="D31" s="245" t="s">
        <v>72</v>
      </c>
      <c r="E31" s="245"/>
      <c r="F31" s="245"/>
      <c r="G31" s="265"/>
      <c r="H31" s="119"/>
      <c r="I31" s="19"/>
      <c r="J31" s="19"/>
      <c r="K31" s="19" t="s">
        <v>215</v>
      </c>
      <c r="L31" s="19" t="s">
        <v>215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10"/>
      <c r="B32" s="215"/>
      <c r="C32" s="300"/>
      <c r="D32" s="245" t="s">
        <v>280</v>
      </c>
      <c r="E32" s="245"/>
      <c r="F32" s="245"/>
      <c r="G32" s="265"/>
      <c r="H32" s="119" t="s">
        <v>215</v>
      </c>
      <c r="I32" s="19" t="s">
        <v>215</v>
      </c>
      <c r="J32" s="19" t="s">
        <v>215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</row>
    <row r="33" spans="1:32" s="17" customFormat="1" ht="13.5" customHeight="1">
      <c r="A33" s="210"/>
      <c r="B33" s="215"/>
      <c r="C33" s="245" t="s">
        <v>229</v>
      </c>
      <c r="D33" s="245"/>
      <c r="E33" s="245"/>
      <c r="F33" s="245"/>
      <c r="G33" s="265"/>
      <c r="H33" s="1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10"/>
      <c r="B34" s="215"/>
      <c r="C34" s="300"/>
      <c r="D34" s="245" t="s">
        <v>230</v>
      </c>
      <c r="E34" s="245"/>
      <c r="F34" s="245"/>
      <c r="G34" s="265"/>
      <c r="H34" s="119" t="s">
        <v>215</v>
      </c>
      <c r="I34" s="19"/>
      <c r="J34" s="19" t="s">
        <v>215</v>
      </c>
      <c r="K34" s="19" t="s">
        <v>215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</row>
    <row r="35" spans="1:32" s="17" customFormat="1" ht="13.5" customHeight="1">
      <c r="A35" s="210"/>
      <c r="B35" s="215"/>
      <c r="C35" s="300"/>
      <c r="D35" s="245" t="s">
        <v>173</v>
      </c>
      <c r="E35" s="245"/>
      <c r="F35" s="245"/>
      <c r="G35" s="265"/>
      <c r="H35" s="119"/>
      <c r="I35" s="19"/>
      <c r="J35" s="19" t="s">
        <v>215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</row>
    <row r="36" spans="1:32" s="17" customFormat="1" ht="13.5" customHeight="1">
      <c r="A36" s="210"/>
      <c r="B36" s="215"/>
      <c r="C36" s="300"/>
      <c r="D36" s="245" t="s">
        <v>231</v>
      </c>
      <c r="E36" s="245"/>
      <c r="F36" s="245"/>
      <c r="G36" s="265"/>
      <c r="H36" s="119"/>
      <c r="I36" s="19"/>
      <c r="J36" s="19" t="s">
        <v>215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</row>
    <row r="37" spans="1:32" s="17" customFormat="1" ht="13.5" customHeight="1">
      <c r="A37" s="210"/>
      <c r="B37" s="215"/>
      <c r="C37" s="300"/>
      <c r="D37" s="245" t="s">
        <v>232</v>
      </c>
      <c r="E37" s="245"/>
      <c r="F37" s="245"/>
      <c r="G37" s="265"/>
      <c r="H37" s="119"/>
      <c r="I37" s="19"/>
      <c r="J37" s="19" t="s">
        <v>215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</row>
    <row r="38" spans="1:32" s="17" customFormat="1" ht="13.5" customHeight="1">
      <c r="A38" s="210"/>
      <c r="B38" s="215"/>
      <c r="C38" s="245" t="s">
        <v>233</v>
      </c>
      <c r="D38" s="245"/>
      <c r="E38" s="245"/>
      <c r="F38" s="245"/>
      <c r="G38" s="265"/>
      <c r="H38" s="1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</row>
    <row r="39" spans="1:32" s="17" customFormat="1" ht="13.5" customHeight="1">
      <c r="A39" s="210"/>
      <c r="B39" s="215"/>
      <c r="C39" s="254"/>
      <c r="D39" s="245" t="s">
        <v>72</v>
      </c>
      <c r="E39" s="245"/>
      <c r="F39" s="245"/>
      <c r="G39" s="265"/>
      <c r="H39" s="119" t="s">
        <v>215</v>
      </c>
      <c r="I39" s="19"/>
      <c r="J39" s="19"/>
      <c r="K39" s="19" t="s">
        <v>215</v>
      </c>
      <c r="L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D39" s="19"/>
      <c r="AE39" s="19"/>
      <c r="AF39" s="19"/>
    </row>
    <row r="40" spans="1:32" s="17" customFormat="1" ht="13.5" customHeight="1">
      <c r="A40" s="210"/>
      <c r="B40" s="215"/>
      <c r="C40" s="255"/>
      <c r="D40" s="245" t="s">
        <v>234</v>
      </c>
      <c r="E40" s="245"/>
      <c r="F40" s="245"/>
      <c r="G40" s="265"/>
      <c r="H40" s="119"/>
      <c r="I40" s="19" t="s">
        <v>215</v>
      </c>
      <c r="J40" s="19" t="s">
        <v>215</v>
      </c>
      <c r="K40" s="82"/>
      <c r="L40" s="82" t="s">
        <v>215</v>
      </c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82"/>
      <c r="AB40" s="82"/>
      <c r="AC40" s="19"/>
      <c r="AD40" s="19"/>
      <c r="AE40" s="19"/>
      <c r="AF40" s="19"/>
    </row>
    <row r="41" spans="1:32" s="17" customFormat="1" ht="13.5" customHeight="1">
      <c r="A41" s="210"/>
      <c r="B41" s="215"/>
      <c r="C41" s="245" t="s">
        <v>86</v>
      </c>
      <c r="D41" s="245"/>
      <c r="E41" s="245"/>
      <c r="F41" s="245"/>
      <c r="G41" s="265"/>
      <c r="H41" s="119" t="s">
        <v>215</v>
      </c>
      <c r="I41" s="19" t="s">
        <v>215</v>
      </c>
      <c r="J41" s="19" t="s">
        <v>215</v>
      </c>
      <c r="K41" s="19" t="s">
        <v>215</v>
      </c>
      <c r="L41" s="19" t="s">
        <v>215</v>
      </c>
      <c r="M41" s="19" t="s">
        <v>215</v>
      </c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</row>
    <row r="42" spans="1:32" s="17" customFormat="1" ht="13.5" customHeight="1">
      <c r="A42" s="210"/>
      <c r="B42" s="215"/>
      <c r="C42" s="245" t="s">
        <v>87</v>
      </c>
      <c r="D42" s="245"/>
      <c r="E42" s="245"/>
      <c r="F42" s="245"/>
      <c r="G42" s="265"/>
      <c r="H42" s="1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20"/>
    </row>
    <row r="43" spans="1:32" s="17" customFormat="1" ht="13.5" customHeight="1" thickBot="1">
      <c r="A43" s="210"/>
      <c r="B43" s="251"/>
      <c r="C43" s="73"/>
      <c r="D43" s="279" t="s">
        <v>65</v>
      </c>
      <c r="E43" s="279"/>
      <c r="F43" s="279"/>
      <c r="G43" s="320"/>
      <c r="H43" s="119"/>
      <c r="I43" s="19"/>
      <c r="J43" s="19"/>
      <c r="K43" s="19"/>
      <c r="L43" s="19"/>
      <c r="M43" s="19" t="s">
        <v>215</v>
      </c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20"/>
    </row>
    <row r="44" spans="1:32" s="17" customFormat="1" ht="13.5" customHeight="1">
      <c r="A44" s="203" t="s">
        <v>167</v>
      </c>
      <c r="B44" s="289" t="s">
        <v>66</v>
      </c>
      <c r="C44" s="289"/>
      <c r="D44" s="289"/>
      <c r="E44" s="289"/>
      <c r="F44" s="289"/>
      <c r="G44" s="290"/>
      <c r="H44" s="121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7"/>
    </row>
    <row r="45" spans="1:32" s="17" customFormat="1" ht="36.75" customHeight="1">
      <c r="A45" s="204"/>
      <c r="B45" s="300"/>
      <c r="C45" s="260" t="s">
        <v>258</v>
      </c>
      <c r="D45" s="260"/>
      <c r="E45" s="260"/>
      <c r="F45" s="260"/>
      <c r="G45" s="285"/>
      <c r="H45" s="122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</row>
    <row r="46" spans="1:32" s="17" customFormat="1" ht="13.5" customHeight="1">
      <c r="A46" s="204"/>
      <c r="B46" s="300"/>
      <c r="C46" s="261"/>
      <c r="D46" s="193" t="s">
        <v>235</v>
      </c>
      <c r="E46" s="194"/>
      <c r="F46" s="194"/>
      <c r="G46" s="250"/>
      <c r="H46" s="122"/>
      <c r="I46" s="87"/>
      <c r="J46" s="87"/>
      <c r="K46" s="87" t="s">
        <v>215</v>
      </c>
      <c r="L46" s="87" t="s">
        <v>215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</row>
    <row r="47" spans="1:32" s="17" customFormat="1" ht="13.5" customHeight="1">
      <c r="A47" s="204"/>
      <c r="B47" s="300"/>
      <c r="C47" s="262"/>
      <c r="D47" s="193" t="s">
        <v>158</v>
      </c>
      <c r="E47" s="194"/>
      <c r="F47" s="194"/>
      <c r="G47" s="250"/>
      <c r="H47" s="122" t="s">
        <v>80</v>
      </c>
      <c r="I47" s="87" t="s">
        <v>80</v>
      </c>
      <c r="J47" s="87" t="s">
        <v>80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19"/>
    </row>
    <row r="48" spans="1:32" s="17" customFormat="1" ht="13.5" customHeight="1">
      <c r="A48" s="204"/>
      <c r="B48" s="300"/>
      <c r="C48" s="262"/>
      <c r="D48" s="193" t="s">
        <v>281</v>
      </c>
      <c r="E48" s="194"/>
      <c r="F48" s="194"/>
      <c r="G48" s="250"/>
      <c r="H48" s="122" t="s">
        <v>80</v>
      </c>
      <c r="I48" s="87" t="s">
        <v>80</v>
      </c>
      <c r="J48" s="87" t="s">
        <v>80</v>
      </c>
      <c r="K48" s="87" t="s">
        <v>215</v>
      </c>
      <c r="L48" s="87" t="s">
        <v>215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19"/>
    </row>
    <row r="49" spans="1:32" s="17" customFormat="1" ht="13.5" customHeight="1">
      <c r="A49" s="204"/>
      <c r="B49" s="300"/>
      <c r="C49" s="262"/>
      <c r="D49" s="193" t="s">
        <v>282</v>
      </c>
      <c r="E49" s="194"/>
      <c r="F49" s="194"/>
      <c r="G49" s="250"/>
      <c r="H49" s="122" t="s">
        <v>80</v>
      </c>
      <c r="I49" s="87" t="s">
        <v>80</v>
      </c>
      <c r="J49" s="87" t="s">
        <v>80</v>
      </c>
      <c r="K49" s="87"/>
      <c r="L49" s="87" t="s">
        <v>215</v>
      </c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19"/>
    </row>
    <row r="50" spans="1:32" s="17" customFormat="1" ht="13.5" customHeight="1">
      <c r="A50" s="204"/>
      <c r="B50" s="300"/>
      <c r="C50" s="262"/>
      <c r="D50" s="193" t="s">
        <v>236</v>
      </c>
      <c r="E50" s="194"/>
      <c r="F50" s="194"/>
      <c r="G50" s="250"/>
      <c r="H50" s="122"/>
      <c r="I50" s="87"/>
      <c r="J50" s="87"/>
      <c r="K50" s="87" t="s">
        <v>215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19"/>
    </row>
    <row r="51" spans="1:32" s="17" customFormat="1" ht="13.5" customHeight="1">
      <c r="A51" s="204"/>
      <c r="B51" s="300"/>
      <c r="C51" s="262"/>
      <c r="D51" s="193" t="s">
        <v>283</v>
      </c>
      <c r="E51" s="194"/>
      <c r="F51" s="194"/>
      <c r="G51" s="250"/>
      <c r="H51" s="122" t="s">
        <v>80</v>
      </c>
      <c r="I51" s="87" t="s">
        <v>80</v>
      </c>
      <c r="J51" s="87" t="s">
        <v>80</v>
      </c>
      <c r="K51" s="87" t="s">
        <v>215</v>
      </c>
      <c r="L51" s="87" t="s">
        <v>215</v>
      </c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19"/>
    </row>
    <row r="52" spans="1:32" s="17" customFormat="1" ht="13.5" customHeight="1">
      <c r="A52" s="204"/>
      <c r="B52" s="300"/>
      <c r="C52" s="262"/>
      <c r="D52" s="193" t="s">
        <v>284</v>
      </c>
      <c r="E52" s="194"/>
      <c r="F52" s="194"/>
      <c r="G52" s="250"/>
      <c r="H52" s="122" t="s">
        <v>80</v>
      </c>
      <c r="I52" s="87" t="s">
        <v>80</v>
      </c>
      <c r="J52" s="87" t="s">
        <v>80</v>
      </c>
      <c r="K52" s="87" t="s">
        <v>215</v>
      </c>
      <c r="L52" s="87" t="s">
        <v>215</v>
      </c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19"/>
    </row>
    <row r="53" spans="1:32" s="17" customFormat="1" ht="13.5" customHeight="1">
      <c r="A53" s="204"/>
      <c r="B53" s="300"/>
      <c r="C53" s="262"/>
      <c r="D53" s="193" t="s">
        <v>285</v>
      </c>
      <c r="E53" s="194"/>
      <c r="F53" s="194"/>
      <c r="G53" s="250"/>
      <c r="H53" s="122" t="s">
        <v>80</v>
      </c>
      <c r="I53" s="87" t="s">
        <v>80</v>
      </c>
      <c r="J53" s="87" t="s">
        <v>80</v>
      </c>
      <c r="K53" s="87" t="s">
        <v>215</v>
      </c>
      <c r="L53" s="87" t="s">
        <v>215</v>
      </c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19"/>
    </row>
    <row r="54" spans="1:32" s="17" customFormat="1" ht="13.5" customHeight="1">
      <c r="A54" s="204"/>
      <c r="B54" s="300"/>
      <c r="C54" s="262"/>
      <c r="D54" s="193" t="s">
        <v>237</v>
      </c>
      <c r="E54" s="194"/>
      <c r="F54" s="194"/>
      <c r="G54" s="250"/>
      <c r="H54" s="122" t="s">
        <v>80</v>
      </c>
      <c r="I54" s="87" t="s">
        <v>80</v>
      </c>
      <c r="J54" s="87" t="s">
        <v>80</v>
      </c>
      <c r="K54" s="87" t="s">
        <v>215</v>
      </c>
      <c r="L54" s="87" t="s">
        <v>215</v>
      </c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19"/>
    </row>
    <row r="55" spans="1:32" s="17" customFormat="1" ht="13.5" customHeight="1">
      <c r="A55" s="204"/>
      <c r="B55" s="300"/>
      <c r="C55" s="262"/>
      <c r="D55" s="193" t="s">
        <v>238</v>
      </c>
      <c r="E55" s="194"/>
      <c r="F55" s="194"/>
      <c r="G55" s="250"/>
      <c r="H55" s="122"/>
      <c r="I55" s="87"/>
      <c r="J55" s="87"/>
      <c r="K55" s="87" t="s">
        <v>215</v>
      </c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19"/>
    </row>
    <row r="56" spans="1:32" s="17" customFormat="1" ht="13.5" customHeight="1">
      <c r="A56" s="204"/>
      <c r="B56" s="300"/>
      <c r="C56" s="262"/>
      <c r="D56" s="193" t="s">
        <v>286</v>
      </c>
      <c r="E56" s="194"/>
      <c r="F56" s="194"/>
      <c r="G56" s="250"/>
      <c r="H56" s="122" t="s">
        <v>80</v>
      </c>
      <c r="I56" s="87" t="s">
        <v>80</v>
      </c>
      <c r="J56" s="87" t="s">
        <v>80</v>
      </c>
      <c r="K56" s="87"/>
      <c r="L56" s="87" t="s">
        <v>215</v>
      </c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19"/>
    </row>
    <row r="57" spans="1:32" s="17" customFormat="1" ht="13.5" customHeight="1">
      <c r="A57" s="204"/>
      <c r="B57" s="300"/>
      <c r="C57" s="262"/>
      <c r="D57" s="193" t="s">
        <v>287</v>
      </c>
      <c r="E57" s="194"/>
      <c r="F57" s="194"/>
      <c r="G57" s="250"/>
      <c r="H57" s="122"/>
      <c r="I57" s="87"/>
      <c r="J57" s="87"/>
      <c r="K57" s="87" t="s">
        <v>215</v>
      </c>
      <c r="L57" s="87" t="s">
        <v>215</v>
      </c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19"/>
    </row>
    <row r="58" spans="1:32" s="17" customFormat="1" ht="13.5" customHeight="1">
      <c r="A58" s="204"/>
      <c r="B58" s="300"/>
      <c r="C58" s="262"/>
      <c r="D58" s="193" t="s">
        <v>239</v>
      </c>
      <c r="E58" s="194"/>
      <c r="F58" s="194"/>
      <c r="G58" s="250"/>
      <c r="H58" s="122"/>
      <c r="I58" s="87"/>
      <c r="J58" s="87"/>
      <c r="K58" s="87" t="s">
        <v>215</v>
      </c>
      <c r="L58" s="87" t="s">
        <v>215</v>
      </c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19"/>
    </row>
    <row r="59" spans="1:32" s="17" customFormat="1" ht="13.5" customHeight="1">
      <c r="A59" s="204"/>
      <c r="B59" s="300"/>
      <c r="C59" s="262"/>
      <c r="D59" s="193" t="s">
        <v>288</v>
      </c>
      <c r="E59" s="194"/>
      <c r="F59" s="194"/>
      <c r="G59" s="250"/>
      <c r="H59" s="123" t="s">
        <v>215</v>
      </c>
      <c r="I59" s="23" t="s">
        <v>215</v>
      </c>
      <c r="J59" s="23" t="s">
        <v>215</v>
      </c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23"/>
      <c r="Y59" s="23"/>
      <c r="Z59" s="23"/>
      <c r="AA59" s="87"/>
      <c r="AB59" s="87"/>
      <c r="AC59" s="87"/>
      <c r="AD59" s="82"/>
      <c r="AE59" s="82"/>
      <c r="AF59" s="19"/>
    </row>
    <row r="60" spans="1:32" s="17" customFormat="1" ht="13.5" customHeight="1">
      <c r="A60" s="204"/>
      <c r="B60" s="300"/>
      <c r="C60" s="262"/>
      <c r="D60" s="193" t="s">
        <v>240</v>
      </c>
      <c r="E60" s="194"/>
      <c r="F60" s="194"/>
      <c r="G60" s="250"/>
      <c r="H60" s="122" t="s">
        <v>80</v>
      </c>
      <c r="I60" s="87"/>
      <c r="J60" s="87"/>
      <c r="K60" s="87" t="s">
        <v>215</v>
      </c>
      <c r="L60" s="87"/>
      <c r="M60" s="19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19"/>
      <c r="AD60" s="23"/>
      <c r="AE60" s="23"/>
      <c r="AF60" s="82"/>
    </row>
    <row r="61" spans="1:32" s="17" customFormat="1" ht="42.75" customHeight="1">
      <c r="A61" s="204"/>
      <c r="B61" s="300"/>
      <c r="C61" s="262"/>
      <c r="D61" s="193" t="s">
        <v>241</v>
      </c>
      <c r="E61" s="194"/>
      <c r="F61" s="194"/>
      <c r="G61" s="250"/>
      <c r="H61" s="122"/>
      <c r="I61" s="87"/>
      <c r="J61" s="87" t="s">
        <v>80</v>
      </c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2"/>
    </row>
    <row r="62" spans="1:32" s="17" customFormat="1" ht="11.25" customHeight="1">
      <c r="A62" s="204"/>
      <c r="B62" s="300"/>
      <c r="C62" s="262"/>
      <c r="D62" s="193" t="s">
        <v>149</v>
      </c>
      <c r="E62" s="194"/>
      <c r="F62" s="194"/>
      <c r="G62" s="250"/>
      <c r="H62" s="122"/>
      <c r="I62" s="87" t="s">
        <v>80</v>
      </c>
      <c r="J62" s="87" t="s">
        <v>80</v>
      </c>
      <c r="K62" s="87"/>
      <c r="L62" s="87" t="s">
        <v>80</v>
      </c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2"/>
    </row>
    <row r="63" spans="1:32" s="17" customFormat="1" ht="13.5" customHeight="1">
      <c r="A63" s="204"/>
      <c r="B63" s="300"/>
      <c r="C63" s="193" t="s">
        <v>242</v>
      </c>
      <c r="D63" s="194"/>
      <c r="E63" s="194"/>
      <c r="F63" s="194"/>
      <c r="G63" s="250"/>
      <c r="H63" s="122" t="s">
        <v>80</v>
      </c>
      <c r="I63" s="87" t="s">
        <v>80</v>
      </c>
      <c r="J63" s="87" t="s">
        <v>80</v>
      </c>
      <c r="K63" s="87" t="s">
        <v>215</v>
      </c>
      <c r="L63" s="87" t="s">
        <v>215</v>
      </c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115"/>
    </row>
    <row r="64" spans="1:32" s="17" customFormat="1" ht="13.5" customHeight="1" thickBot="1">
      <c r="A64" s="204"/>
      <c r="B64" s="300"/>
      <c r="C64" s="193" t="s">
        <v>79</v>
      </c>
      <c r="D64" s="194"/>
      <c r="E64" s="194"/>
      <c r="F64" s="194"/>
      <c r="G64" s="250"/>
      <c r="H64" s="122"/>
      <c r="I64" s="87"/>
      <c r="J64" s="87"/>
      <c r="K64" s="87"/>
      <c r="L64" s="87"/>
      <c r="M64" s="87" t="s">
        <v>80</v>
      </c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115"/>
    </row>
    <row r="65" spans="1:32" s="17" customFormat="1" ht="24" customHeight="1">
      <c r="A65" s="195" t="s">
        <v>141</v>
      </c>
      <c r="B65" s="197"/>
      <c r="C65" s="198"/>
      <c r="D65" s="198"/>
      <c r="E65" s="198"/>
      <c r="F65" s="199"/>
      <c r="G65" s="38" t="s">
        <v>140</v>
      </c>
      <c r="H65" s="124" t="s">
        <v>81</v>
      </c>
      <c r="I65" s="37" t="s">
        <v>81</v>
      </c>
      <c r="J65" s="37" t="s">
        <v>81</v>
      </c>
      <c r="K65" s="37" t="s">
        <v>81</v>
      </c>
      <c r="L65" s="37" t="s">
        <v>81</v>
      </c>
      <c r="M65" s="37" t="s">
        <v>82</v>
      </c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8"/>
    </row>
    <row r="66" spans="1:32" s="17" customFormat="1" ht="27" customHeight="1">
      <c r="A66" s="196"/>
      <c r="B66" s="200"/>
      <c r="C66" s="201"/>
      <c r="D66" s="201"/>
      <c r="E66" s="201"/>
      <c r="F66" s="202"/>
      <c r="G66" s="125" t="s">
        <v>138</v>
      </c>
      <c r="H66" s="126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42"/>
    </row>
    <row r="67" spans="1:32" s="17" customFormat="1" ht="27" customHeight="1">
      <c r="A67" s="196"/>
      <c r="B67" s="200"/>
      <c r="C67" s="201"/>
      <c r="D67" s="201"/>
      <c r="E67" s="201"/>
      <c r="F67" s="202"/>
      <c r="G67" s="125" t="s">
        <v>137</v>
      </c>
      <c r="H67" s="127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5"/>
    </row>
    <row r="68" spans="1:32" s="17" customFormat="1" ht="24.75" customHeight="1">
      <c r="A68" s="196"/>
      <c r="B68" s="200"/>
      <c r="C68" s="201"/>
      <c r="D68" s="201"/>
      <c r="E68" s="201"/>
      <c r="F68" s="202"/>
      <c r="G68" s="42" t="s">
        <v>136</v>
      </c>
      <c r="H68" s="126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42"/>
    </row>
    <row r="69" spans="1:32" s="17" customFormat="1" ht="24.75" customHeight="1">
      <c r="A69" s="235" t="s">
        <v>135</v>
      </c>
      <c r="B69" s="317" t="s">
        <v>134</v>
      </c>
      <c r="C69" s="318"/>
      <c r="D69" s="318"/>
      <c r="E69" s="319"/>
      <c r="F69" s="238" t="str">
        <f>GetBugSheetName()</f>
        <v>Summary_</v>
      </c>
      <c r="G69" s="239"/>
      <c r="H69" s="128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4"/>
    </row>
    <row r="70" spans="1:32" s="17" customFormat="1" ht="36" customHeight="1" thickBot="1">
      <c r="A70" s="236"/>
      <c r="B70" s="223" t="s">
        <v>133</v>
      </c>
      <c r="C70" s="224"/>
      <c r="D70" s="224"/>
      <c r="E70" s="225"/>
      <c r="F70" s="223"/>
      <c r="G70" s="240"/>
      <c r="H70" s="129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 t="str">
        <f t="shared" ref="S70:AF70" si="1">IF(S69="","",(SUM(LEN(S69)-LEN(SUBSTITUTE(S69,",","")))/LEN(",")) + 1 )</f>
        <v/>
      </c>
      <c r="T70" s="55" t="str">
        <f t="shared" si="1"/>
        <v/>
      </c>
      <c r="U70" s="55" t="str">
        <f t="shared" si="1"/>
        <v/>
      </c>
      <c r="V70" s="55" t="str">
        <f t="shared" si="1"/>
        <v/>
      </c>
      <c r="W70" s="55" t="str">
        <f t="shared" si="1"/>
        <v/>
      </c>
      <c r="X70" s="55" t="str">
        <f t="shared" si="1"/>
        <v/>
      </c>
      <c r="Y70" s="55" t="str">
        <f t="shared" si="1"/>
        <v/>
      </c>
      <c r="Z70" s="55" t="str">
        <f t="shared" si="1"/>
        <v/>
      </c>
      <c r="AA70" s="55" t="str">
        <f t="shared" si="1"/>
        <v/>
      </c>
      <c r="AB70" s="55" t="str">
        <f t="shared" si="1"/>
        <v/>
      </c>
      <c r="AC70" s="55" t="str">
        <f t="shared" si="1"/>
        <v/>
      </c>
      <c r="AD70" s="55" t="str">
        <f t="shared" si="1"/>
        <v/>
      </c>
      <c r="AE70" s="55" t="str">
        <f t="shared" si="1"/>
        <v/>
      </c>
      <c r="AF70" s="56" t="str">
        <f t="shared" si="1"/>
        <v/>
      </c>
    </row>
    <row r="71" spans="1:32" s="17" customFormat="1">
      <c r="H71" s="47"/>
      <c r="I71" s="47"/>
      <c r="J71" s="47"/>
      <c r="K71" s="47"/>
      <c r="L71" s="47"/>
      <c r="M71" s="47"/>
      <c r="N71" s="48"/>
      <c r="O71" s="49"/>
      <c r="P71" s="47"/>
      <c r="Q71" s="47"/>
      <c r="R71" s="47"/>
      <c r="S71" s="47"/>
      <c r="T71" s="47"/>
      <c r="U71" s="47"/>
      <c r="V71" s="47"/>
    </row>
  </sheetData>
  <sheetProtection insertRows="0"/>
  <protectedRanges>
    <protectedRange sqref="H65:AF69" name="Range3_1_1"/>
    <protectedRange sqref="H4:AF4 AD5:AF5 N22:AF24 AD33:AF41 H22:M32 H19:AF21 AF45:AF59 AD45:AE58 O40:Z41 AD27:AE27 AC33:AC38 AC40 AA41:AD41 H42:AF44 O29:AF32 O33:AB39 O64:AE64 Z9:Z10 AD60:AE63 O45:AC63 AF63:AF64 H40:J41 M33:M38 M40 K41:M41 H33:L39 J9:J10 H45:N64 H6:AF6 AA9:AF18 J12:J18 K9:Y18 H9:I18 Z12:Z18 H8:AF8 O27:AC28 AD28:AF28 O25:AE26 N25:N41 AF25:AF27" name="Range2_1_1"/>
    <protectedRange sqref="D43:G43" name="Range2_1_5_1"/>
    <protectedRange sqref="C44:G44 B44:B64" name="Range2_1_2"/>
    <protectedRange sqref="C45:G63" name="Range2_1_30"/>
    <protectedRange sqref="C64:G64" name="Range2_1_8_1_1"/>
    <protectedRange sqref="B1:O1 P2 T1 AC1:AF1 B2:E2" name="Range1_1_1"/>
    <protectedRange sqref="P2 AC2:AF2" name="Range1_1_1_1"/>
  </protectedRanges>
  <mergeCells count="95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C8:G8"/>
    <mergeCell ref="E9:G9"/>
    <mergeCell ref="C10:G10"/>
    <mergeCell ref="C11:C12"/>
    <mergeCell ref="B2:E2"/>
    <mergeCell ref="F2:H2"/>
    <mergeCell ref="C23:G23"/>
    <mergeCell ref="D11:G11"/>
    <mergeCell ref="D12:G12"/>
    <mergeCell ref="C13:G13"/>
    <mergeCell ref="E14:G14"/>
    <mergeCell ref="C15:G15"/>
    <mergeCell ref="C16:C17"/>
    <mergeCell ref="D16:D17"/>
    <mergeCell ref="E16:G16"/>
    <mergeCell ref="E17:G17"/>
    <mergeCell ref="C18:G18"/>
    <mergeCell ref="E19:G19"/>
    <mergeCell ref="D20:G20"/>
    <mergeCell ref="C21:G21"/>
    <mergeCell ref="E22:G22"/>
    <mergeCell ref="C24:C29"/>
    <mergeCell ref="D24:G24"/>
    <mergeCell ref="E25:G25"/>
    <mergeCell ref="D26:G26"/>
    <mergeCell ref="E27:G27"/>
    <mergeCell ref="D28:G28"/>
    <mergeCell ref="E29:G29"/>
    <mergeCell ref="C42:G42"/>
    <mergeCell ref="C30:G30"/>
    <mergeCell ref="C31:C32"/>
    <mergeCell ref="D31:G31"/>
    <mergeCell ref="D32:G32"/>
    <mergeCell ref="C33:G33"/>
    <mergeCell ref="C34:C37"/>
    <mergeCell ref="D34:G34"/>
    <mergeCell ref="D35:G35"/>
    <mergeCell ref="D36:G36"/>
    <mergeCell ref="D37:G37"/>
    <mergeCell ref="C38:G38"/>
    <mergeCell ref="C39:C40"/>
    <mergeCell ref="D39:G39"/>
    <mergeCell ref="D40:G40"/>
    <mergeCell ref="C41:G41"/>
    <mergeCell ref="D43:G43"/>
    <mergeCell ref="A44:A64"/>
    <mergeCell ref="B44:G44"/>
    <mergeCell ref="B45:B64"/>
    <mergeCell ref="C45:G45"/>
    <mergeCell ref="C46:C62"/>
    <mergeCell ref="D46:G46"/>
    <mergeCell ref="D47:G47"/>
    <mergeCell ref="D48:G48"/>
    <mergeCell ref="D49:G49"/>
    <mergeCell ref="A4:A43"/>
    <mergeCell ref="B4:G4"/>
    <mergeCell ref="B5:G5"/>
    <mergeCell ref="B6:B43"/>
    <mergeCell ref="C6:G6"/>
    <mergeCell ref="E7:G7"/>
    <mergeCell ref="D61:G61"/>
    <mergeCell ref="D50:G50"/>
    <mergeCell ref="D51:G51"/>
    <mergeCell ref="D52:G52"/>
    <mergeCell ref="D53:G53"/>
    <mergeCell ref="D54:G54"/>
    <mergeCell ref="D55:G55"/>
    <mergeCell ref="D56:G56"/>
    <mergeCell ref="D57:G57"/>
    <mergeCell ref="D58:G58"/>
    <mergeCell ref="D59:G59"/>
    <mergeCell ref="D60:G60"/>
    <mergeCell ref="D62:G62"/>
    <mergeCell ref="C63:G63"/>
    <mergeCell ref="C64:G64"/>
    <mergeCell ref="A65:A68"/>
    <mergeCell ref="B65:F65"/>
    <mergeCell ref="B66:F66"/>
    <mergeCell ref="B67:F67"/>
    <mergeCell ref="B68:F68"/>
    <mergeCell ref="A69:A70"/>
    <mergeCell ref="B69:E69"/>
    <mergeCell ref="F69:G69"/>
    <mergeCell ref="B70:E70"/>
    <mergeCell ref="F70:G70"/>
  </mergeCells>
  <conditionalFormatting sqref="AF63:AF70 AD60:AD70 AD40:AD58 AE23:AE70 AF21:AF61 Z12:Z13 T27:AD29 X40:Z43 X33:AD39 AA40:AC64 Z10 W30:AD32 X44:X60 W33:W60 Y44:Z58 Y60:Z60 AA10:AF13 H21:AE22 H23:AD26 H65:AC70 H61:Z64 T30:V60 H27:S60 H3:AF9 H14:AF20 H10:Y13">
    <cfRule type="expression" dxfId="17" priority="11" stopIfTrue="1">
      <formula>H$68="NA"</formula>
    </cfRule>
    <cfRule type="expression" dxfId="16" priority="12" stopIfTrue="1">
      <formula>H$68="NG"</formula>
    </cfRule>
  </conditionalFormatting>
  <conditionalFormatting sqref="AD29">
    <cfRule type="expression" dxfId="15" priority="9" stopIfTrue="1">
      <formula>V$68="NA"</formula>
    </cfRule>
    <cfRule type="expression" dxfId="14" priority="10" stopIfTrue="1">
      <formula>V$68="NG"</formula>
    </cfRule>
  </conditionalFormatting>
  <conditionalFormatting sqref="Y59">
    <cfRule type="expression" dxfId="13" priority="7" stopIfTrue="1">
      <formula>Y$68="NA"</formula>
    </cfRule>
    <cfRule type="expression" dxfId="12" priority="8" stopIfTrue="1">
      <formula>Y$68="NG"</formula>
    </cfRule>
  </conditionalFormatting>
  <conditionalFormatting sqref="Z59">
    <cfRule type="expression" dxfId="11" priority="5" stopIfTrue="1">
      <formula>Z$68="NA"</formula>
    </cfRule>
    <cfRule type="expression" dxfId="10" priority="6" stopIfTrue="1">
      <formula>Z$68="NG"</formula>
    </cfRule>
  </conditionalFormatting>
  <conditionalFormatting sqref="I59">
    <cfRule type="expression" dxfId="9" priority="3" stopIfTrue="1">
      <formula>I$68="NA"</formula>
    </cfRule>
    <cfRule type="expression" dxfId="8" priority="4" stopIfTrue="1">
      <formula>I$68="NG"</formula>
    </cfRule>
  </conditionalFormatting>
  <conditionalFormatting sqref="J59">
    <cfRule type="expression" dxfId="7" priority="1" stopIfTrue="1">
      <formula>J$68="NA"</formula>
    </cfRule>
    <cfRule type="expression" dxfId="6" priority="2" stopIfTrue="1">
      <formula>J$68="NG"</formula>
    </cfRule>
  </conditionalFormatting>
  <dataValidations count="10">
    <dataValidation allowBlank="1" showInputMessage="1" showErrorMessage="1" promptTitle="Condition Type" prompt="N : Normal _x000a_A : Abnormal _x000a_B : Boundary" sqref="G65"/>
    <dataValidation allowBlank="1" showInputMessage="1" showErrorMessage="1" promptTitle="Enter" prompt="Name of the person who performed the test" sqref="G66"/>
    <dataValidation allowBlank="1" showInputMessage="1" showErrorMessage="1" promptTitle="Testing Date" prompt="Date on which test was performed in yyyy/mm/dd format" sqref="G6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PCL sheet name" prompt=" " sqref="F69:G69"/>
    <dataValidation type="list" allowBlank="1" showInputMessage="1" showErrorMessage="1" sqref="H68:AF68">
      <formula1>"OK, NG, NA, PT"</formula1>
    </dataValidation>
    <dataValidation type="list" allowBlank="1" showInputMessage="1" showErrorMessage="1" sqref="H65:AF65">
      <formula1>"N, A, B"</formula1>
    </dataValidation>
    <dataValidation allowBlank="1" showInputMessage="1" showErrorMessage="1" promptTitle="Check points" prompt="that need / need not be executed" sqref="A44:A64"/>
    <dataValidation allowBlank="1" showInputMessage="1" showErrorMessage="1" promptTitle="Input conditions" prompt="that need to be checked." sqref="A4:A43"/>
  </dataValidations>
  <hyperlinks>
    <hyperlink ref="E22" r:id="rId1"/>
    <hyperlink ref="E9" r:id="rId2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17"/>
  <sheetViews>
    <sheetView view="pageBreakPreview" zoomScale="85" zoomScaleNormal="70" workbookViewId="0">
      <pane xSplit="7" ySplit="3" topLeftCell="H4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V11" sqref="V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202</v>
      </c>
      <c r="B1" s="217" t="s">
        <v>201</v>
      </c>
      <c r="C1" s="218"/>
      <c r="D1" s="218"/>
      <c r="E1" s="219"/>
      <c r="F1" s="217" t="s">
        <v>260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200</v>
      </c>
      <c r="Q1" s="227"/>
      <c r="R1" s="227"/>
      <c r="S1" s="228"/>
      <c r="T1" s="217" t="s">
        <v>259</v>
      </c>
      <c r="U1" s="218"/>
      <c r="V1" s="218"/>
      <c r="W1" s="218"/>
      <c r="X1" s="218"/>
      <c r="Y1" s="218"/>
      <c r="Z1" s="219"/>
      <c r="AA1" s="229" t="s">
        <v>199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198</v>
      </c>
      <c r="B2" s="220" t="s">
        <v>197</v>
      </c>
      <c r="C2" s="221"/>
      <c r="D2" s="221"/>
      <c r="E2" s="222"/>
      <c r="F2" s="220"/>
      <c r="G2" s="221"/>
      <c r="H2" s="222"/>
      <c r="I2" s="223" t="s">
        <v>112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196</v>
      </c>
      <c r="AB2" s="233"/>
      <c r="AC2" s="220" t="s">
        <v>257</v>
      </c>
      <c r="AD2" s="221"/>
      <c r="AE2" s="221"/>
      <c r="AF2" s="234"/>
    </row>
    <row r="3" spans="1:32" ht="37.5" customHeight="1" thickBot="1">
      <c r="A3" s="66" t="s">
        <v>195</v>
      </c>
      <c r="B3" s="10"/>
      <c r="C3" s="10"/>
      <c r="D3" s="10"/>
      <c r="E3" s="10"/>
      <c r="F3" s="10"/>
      <c r="G3" s="65" t="s">
        <v>194</v>
      </c>
      <c r="H3" s="11">
        <f>IF(COUNTA(H4:H11)&gt;0,1,"")</f>
        <v>1</v>
      </c>
      <c r="I3" s="12">
        <f t="shared" ref="I3:AF3" si="0">IF(COUNTA(I4:I11)&gt;0,IF(H3&gt;0,H3+1,""),"")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193</v>
      </c>
      <c r="B4" s="289" t="s">
        <v>214</v>
      </c>
      <c r="C4" s="289"/>
      <c r="D4" s="289"/>
      <c r="E4" s="289"/>
      <c r="F4" s="289"/>
      <c r="G4" s="29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129</v>
      </c>
      <c r="C5" s="291"/>
      <c r="D5" s="291"/>
      <c r="E5" s="291"/>
      <c r="F5" s="291"/>
      <c r="G5" s="29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96"/>
      <c r="C6" s="296" t="s">
        <v>130</v>
      </c>
      <c r="D6" s="296"/>
      <c r="E6" s="296"/>
      <c r="F6" s="296"/>
      <c r="G6" s="312"/>
      <c r="H6" s="18" t="s">
        <v>80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 thickBot="1">
      <c r="A7" s="210"/>
      <c r="B7" s="309" t="s">
        <v>65</v>
      </c>
      <c r="C7" s="310"/>
      <c r="D7" s="310"/>
      <c r="E7" s="310"/>
      <c r="F7" s="310"/>
      <c r="G7" s="311"/>
      <c r="H7" s="22"/>
      <c r="I7" s="23" t="s">
        <v>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3" t="s">
        <v>167</v>
      </c>
      <c r="B8" s="248" t="s">
        <v>66</v>
      </c>
      <c r="C8" s="249"/>
      <c r="D8" s="249"/>
      <c r="E8" s="249"/>
      <c r="F8" s="249"/>
      <c r="G8" s="331"/>
      <c r="H8" s="25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04"/>
      <c r="B9" s="296"/>
      <c r="C9" s="193" t="s">
        <v>131</v>
      </c>
      <c r="D9" s="194"/>
      <c r="E9" s="194"/>
      <c r="F9" s="194"/>
      <c r="G9" s="250"/>
      <c r="H9" s="86" t="s">
        <v>80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115"/>
    </row>
    <row r="10" spans="1:32" s="17" customFormat="1" ht="13.5" customHeight="1" thickBot="1">
      <c r="A10" s="204"/>
      <c r="B10" s="332"/>
      <c r="C10" s="193" t="s">
        <v>132</v>
      </c>
      <c r="D10" s="194"/>
      <c r="E10" s="194"/>
      <c r="F10" s="194"/>
      <c r="G10" s="250"/>
      <c r="H10" s="22"/>
      <c r="I10" s="23" t="s">
        <v>80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195" t="s">
        <v>141</v>
      </c>
      <c r="B11" s="197"/>
      <c r="C11" s="198"/>
      <c r="D11" s="198"/>
      <c r="E11" s="198"/>
      <c r="F11" s="199"/>
      <c r="G11" s="35" t="s">
        <v>140</v>
      </c>
      <c r="H11" s="36" t="s">
        <v>81</v>
      </c>
      <c r="I11" s="37" t="s">
        <v>82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96"/>
      <c r="B12" s="200"/>
      <c r="C12" s="201"/>
      <c r="D12" s="201"/>
      <c r="E12" s="201"/>
      <c r="F12" s="202"/>
      <c r="G12" s="39" t="s">
        <v>138</v>
      </c>
      <c r="H12" s="40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42"/>
    </row>
    <row r="13" spans="1:32" s="17" customFormat="1" ht="27" customHeight="1">
      <c r="A13" s="196"/>
      <c r="B13" s="200"/>
      <c r="C13" s="201"/>
      <c r="D13" s="201"/>
      <c r="E13" s="201"/>
      <c r="F13" s="202"/>
      <c r="G13" s="39" t="s">
        <v>137</v>
      </c>
      <c r="H13" s="43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96"/>
      <c r="B14" s="200"/>
      <c r="C14" s="201"/>
      <c r="D14" s="201"/>
      <c r="E14" s="201"/>
      <c r="F14" s="202"/>
      <c r="G14" s="46" t="s">
        <v>136</v>
      </c>
      <c r="H14" s="40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42"/>
    </row>
    <row r="15" spans="1:32" s="17" customFormat="1" ht="24.75" customHeight="1">
      <c r="A15" s="235" t="s">
        <v>135</v>
      </c>
      <c r="B15" s="237" t="s">
        <v>134</v>
      </c>
      <c r="C15" s="237"/>
      <c r="D15" s="237"/>
      <c r="E15" s="237"/>
      <c r="F15" s="238" t="str">
        <f>GetBugSheetName()</f>
        <v>Summary_</v>
      </c>
      <c r="G15" s="239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36"/>
      <c r="B16" s="223" t="s">
        <v>133</v>
      </c>
      <c r="C16" s="224"/>
      <c r="D16" s="224"/>
      <c r="E16" s="225"/>
      <c r="F16" s="223"/>
      <c r="G16" s="240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H11:AF15" name="Range3_1_1"/>
    <protectedRange sqref="H4:AF10" name="Range2_1_1"/>
    <protectedRange sqref="B1:O1 P2 T1 B2:E2" name="Range1_1_1"/>
    <protectedRange sqref="P2 AC2:AF2" name="Range1_1_1_1"/>
    <protectedRange sqref="B7 D5:G7 B5:C6" name="Range2_1_2"/>
    <protectedRange sqref="B4:G4" name="Range2_1_2_1"/>
    <protectedRange sqref="B8:G10" name="Range2_1_3"/>
    <protectedRange sqref="AC1:AF1" name="Range1_1_1_3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8:A10"/>
    <mergeCell ref="B8:G8"/>
    <mergeCell ref="B9:B10"/>
    <mergeCell ref="C9:G9"/>
    <mergeCell ref="C10:G10"/>
    <mergeCell ref="A4:A7"/>
    <mergeCell ref="B4:G4"/>
    <mergeCell ref="B5:G5"/>
    <mergeCell ref="C6:G6"/>
    <mergeCell ref="B7:G7"/>
    <mergeCell ref="A15:A16"/>
    <mergeCell ref="B15:E15"/>
    <mergeCell ref="F15:G15"/>
    <mergeCell ref="B16:E16"/>
    <mergeCell ref="F16:G16"/>
    <mergeCell ref="A11:A14"/>
    <mergeCell ref="B11:F11"/>
    <mergeCell ref="B12:F12"/>
    <mergeCell ref="B13:F13"/>
    <mergeCell ref="B14:F14"/>
  </mergeCells>
  <dataValidations count="10">
    <dataValidation allowBlank="1" showInputMessage="1" showErrorMessage="1" promptTitle="Check points" prompt="that need / need not be executed" sqref="A8:A10"/>
    <dataValidation allowBlank="1" showInputMessage="1" showErrorMessage="1" promptTitle="Input conditions" prompt="that need to be checked." sqref="A4:A7"/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7:F20"/>
  <sheetViews>
    <sheetView workbookViewId="0">
      <selection activeCell="F20" sqref="B4:F20"/>
    </sheetView>
  </sheetViews>
  <sheetFormatPr defaultRowHeight="13.5"/>
  <sheetData>
    <row r="7" spans="3:6" ht="18.75">
      <c r="C7" s="130"/>
      <c r="D7" s="131"/>
      <c r="E7" s="131"/>
      <c r="F7" s="131"/>
    </row>
    <row r="8" spans="3:6" ht="15">
      <c r="C8" s="131"/>
      <c r="D8" s="131"/>
      <c r="E8" s="131"/>
      <c r="F8" s="131"/>
    </row>
    <row r="9" spans="3:6" ht="15">
      <c r="C9" s="131"/>
      <c r="D9" s="131"/>
      <c r="E9" s="131"/>
      <c r="F9" s="131"/>
    </row>
    <row r="10" spans="3:6" ht="15">
      <c r="C10" s="131"/>
      <c r="D10" s="131"/>
      <c r="E10" s="131"/>
      <c r="F10" s="131"/>
    </row>
    <row r="11" spans="3:6" ht="15">
      <c r="C11" s="131"/>
      <c r="D11" s="131"/>
      <c r="E11" s="131"/>
      <c r="F11" s="131"/>
    </row>
    <row r="12" spans="3:6" ht="15">
      <c r="C12" s="131"/>
      <c r="D12" s="131"/>
      <c r="E12" s="131"/>
      <c r="F12" s="131"/>
    </row>
    <row r="13" spans="3:6" ht="15">
      <c r="C13" s="131"/>
      <c r="D13" s="131"/>
      <c r="E13" s="131"/>
      <c r="F13" s="131"/>
    </row>
    <row r="14" spans="3:6" ht="15">
      <c r="C14" s="131"/>
      <c r="D14" s="131"/>
      <c r="E14" s="131"/>
      <c r="F14" s="131"/>
    </row>
    <row r="15" spans="3:6" ht="15">
      <c r="C15" s="131"/>
      <c r="D15" s="131"/>
      <c r="E15" s="131"/>
      <c r="F15" s="131"/>
    </row>
    <row r="16" spans="3:6" ht="15">
      <c r="C16" s="131"/>
      <c r="D16" s="131"/>
      <c r="E16" s="131"/>
      <c r="F16" s="131"/>
    </row>
    <row r="17" spans="3:6" ht="15">
      <c r="C17" s="131"/>
      <c r="D17" s="131"/>
      <c r="E17" s="131"/>
      <c r="F17" s="131"/>
    </row>
    <row r="18" spans="3:6" ht="15">
      <c r="C18" s="131"/>
      <c r="D18" s="131"/>
      <c r="E18" s="131"/>
      <c r="F18" s="131"/>
    </row>
    <row r="19" spans="3:6" ht="15">
      <c r="C19" s="131"/>
      <c r="D19" s="131"/>
      <c r="E19" s="131"/>
      <c r="F19" s="131"/>
    </row>
    <row r="20" spans="3:6" ht="15">
      <c r="C20" s="131"/>
      <c r="D20" s="131"/>
      <c r="E20" s="131"/>
      <c r="F20" s="1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68</vt:i4>
      </vt:variant>
    </vt:vector>
  </HeadingPairs>
  <TitlesOfParts>
    <vt:vector size="81" baseType="lpstr">
      <vt:lpstr>Summary</vt:lpstr>
      <vt:lpstr>Template</vt:lpstr>
      <vt:lpstr>Page_Load</vt:lpstr>
      <vt:lpstr>Submit_Click</vt:lpstr>
      <vt:lpstr>Clear_Click</vt:lpstr>
      <vt:lpstr>Edit_Page_Load</vt:lpstr>
      <vt:lpstr>Edit_Click</vt:lpstr>
      <vt:lpstr>Edit_Logout</vt:lpstr>
      <vt:lpstr>Update_Page_Load</vt:lpstr>
      <vt:lpstr>Update_Page_Load (2)</vt:lpstr>
      <vt:lpstr>Update_Click</vt:lpstr>
      <vt:lpstr>Update_Logout_Click</vt:lpstr>
      <vt:lpstr>Sheet1</vt:lpstr>
      <vt:lpstr>Clear_Click!BugCount</vt:lpstr>
      <vt:lpstr>Edit_Click!BugCount</vt:lpstr>
      <vt:lpstr>Edit_Logout!BugCount</vt:lpstr>
      <vt:lpstr>Edit_Page_Load!BugCount</vt:lpstr>
      <vt:lpstr>Page_Load!BugCount</vt:lpstr>
      <vt:lpstr>Submit_Click!BugCount</vt:lpstr>
      <vt:lpstr>Update_Click!BugCount</vt:lpstr>
      <vt:lpstr>Update_Logout_Click!BugCount</vt:lpstr>
      <vt:lpstr>Update_Page_Load!BugCount</vt:lpstr>
      <vt:lpstr>'Update_Page_Load (2)'!BugCount</vt:lpstr>
      <vt:lpstr>BugCount</vt:lpstr>
      <vt:lpstr>Clear_Click!BugSheetName</vt:lpstr>
      <vt:lpstr>Edit_Click!BugSheetName</vt:lpstr>
      <vt:lpstr>Edit_Logout!BugSheetName</vt:lpstr>
      <vt:lpstr>Edit_Page_Load!BugSheetName</vt:lpstr>
      <vt:lpstr>Page_Load!BugSheetName</vt:lpstr>
      <vt:lpstr>Submit_Click!BugSheetName</vt:lpstr>
      <vt:lpstr>Update_Click!BugSheetName</vt:lpstr>
      <vt:lpstr>Update_Logout_Click!BugSheetName</vt:lpstr>
      <vt:lpstr>Update_Page_Load!BugSheetName</vt:lpstr>
      <vt:lpstr>'Update_Page_Load (2)'!BugSheetName</vt:lpstr>
      <vt:lpstr>BugSheetName</vt:lpstr>
      <vt:lpstr>NewPCL</vt:lpstr>
      <vt:lpstr>NewPCL_Row</vt:lpstr>
      <vt:lpstr>Clear_Click!Print_Area</vt:lpstr>
      <vt:lpstr>Edit_Click!Print_Area</vt:lpstr>
      <vt:lpstr>Edit_Logout!Print_Area</vt:lpstr>
      <vt:lpstr>Edit_Page_Load!Print_Area</vt:lpstr>
      <vt:lpstr>Page_Load!Print_Area</vt:lpstr>
      <vt:lpstr>Submit_Click!Print_Area</vt:lpstr>
      <vt:lpstr>Summary!Print_Area</vt:lpstr>
      <vt:lpstr>Template!Print_Area</vt:lpstr>
      <vt:lpstr>Update_Click!Print_Area</vt:lpstr>
      <vt:lpstr>Update_Logout_Click!Print_Area</vt:lpstr>
      <vt:lpstr>Update_Page_Load!Print_Area</vt:lpstr>
      <vt:lpstr>'Update_Page_Load (2)'!Print_Area</vt:lpstr>
      <vt:lpstr>Clear_Click!Print_Titles</vt:lpstr>
      <vt:lpstr>Edit_Click!Print_Titles</vt:lpstr>
      <vt:lpstr>Edit_Logout!Print_Titles</vt:lpstr>
      <vt:lpstr>Edit_Page_Load!Print_Titles</vt:lpstr>
      <vt:lpstr>Page_Load!Print_Titles</vt:lpstr>
      <vt:lpstr>Submit_Click!Print_Titles</vt:lpstr>
      <vt:lpstr>Summary!Print_Titles</vt:lpstr>
      <vt:lpstr>Template!Print_Titles</vt:lpstr>
      <vt:lpstr>Update_Click!Print_Titles</vt:lpstr>
      <vt:lpstr>Update_Logout_Click!Print_Titles</vt:lpstr>
      <vt:lpstr>Update_Page_Load!Print_Titles</vt:lpstr>
      <vt:lpstr>'Update_Page_Load (2)'!Print_Titles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Edit_Click!TestResult</vt:lpstr>
      <vt:lpstr>Edit_Logout!TestResult</vt:lpstr>
      <vt:lpstr>Edit_Page_Load!TestResult</vt:lpstr>
      <vt:lpstr>Page_Load!TestResult</vt:lpstr>
      <vt:lpstr>Submit_Click!TestResult</vt:lpstr>
      <vt:lpstr>Update_Click!TestResult</vt:lpstr>
      <vt:lpstr>Update_Logout_Click!TestResult</vt:lpstr>
      <vt:lpstr>Update_Page_Load!TestResult</vt:lpstr>
      <vt:lpstr>'Update_Page_Load (2)'!TestResult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2019-08-25T13:38:42Z</dcterms:modified>
</cp:coreProperties>
</file>