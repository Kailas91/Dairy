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ks skillup\jdbc\Kishan\Skillup_Web\Pcl_servlets\Assignment8\"/>
    </mc:Choice>
  </mc:AlternateContent>
  <bookViews>
    <workbookView xWindow="-45" yWindow="525" windowWidth="12120" windowHeight="6330" tabRatio="511"/>
  </bookViews>
  <sheets>
    <sheet name="Summary" sheetId="32" r:id="rId1"/>
    <sheet name="Template" sheetId="21" state="hidden" r:id="rId2"/>
    <sheet name="Page_Load" sheetId="71" r:id="rId3"/>
    <sheet name="Upload_Click" sheetId="72" r:id="rId4"/>
  </sheets>
  <functionGroups builtInGroupCount="18"/>
  <definedNames>
    <definedName name="_A02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2">Page_Load!$H$31:$AF$31</definedName>
    <definedName name="BugCount" localSheetId="3">Upload_Click!$H$24:$AF$24</definedName>
    <definedName name="BugCount">Template!$H$29:$AF$29</definedName>
    <definedName name="BugSheetName" localSheetId="2">Page_Load!$F$30</definedName>
    <definedName name="BugSheetName" localSheetId="3">Upload_Click!$F$23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Summary!$12:$12</definedName>
    <definedName name="_xlnm.Print_Area" localSheetId="2">Page_Load!$A$1:$AF$32</definedName>
    <definedName name="_xlnm.Print_Area" localSheetId="0">Summary!$A$5:$AM$32</definedName>
    <definedName name="_xlnm.Print_Area" localSheetId="1">Template!$A$1:$AF$30</definedName>
    <definedName name="_xlnm.Print_Area" localSheetId="3">Upload_Click!$A$1:$AF$25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_xlnm.Print_Titles" localSheetId="3">Upload_Click!$1:$3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Summary!$AI$13</definedName>
    <definedName name="SummaryTotal">Summary!$B$13:$AL$14</definedName>
    <definedName name="SummaryTRNA">Summary!$X$13</definedName>
    <definedName name="SummaryTRNG">Summary!$R$13</definedName>
    <definedName name="SummaryTROK">Summary!$O$13</definedName>
    <definedName name="SummaryTRPT">Summary!$U$13</definedName>
    <definedName name="SummaryTTC">Summary!$K$13</definedName>
    <definedName name="SummaryTTD">Summary!$AA$13</definedName>
    <definedName name="SummaryTTND">Summary!$AE$13</definedName>
    <definedName name="TestResult" localSheetId="2">Page_Load!$G$29</definedName>
    <definedName name="TestResult" localSheetId="3">Upload_Click!$G$22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62913"/>
</workbook>
</file>

<file path=xl/calcChain.xml><?xml version="1.0" encoding="utf-8"?>
<calcChain xmlns="http://schemas.openxmlformats.org/spreadsheetml/2006/main">
  <c r="AF24" i="72" l="1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O11" i="32"/>
  <c r="AI11" i="32"/>
  <c r="X11" i="32"/>
  <c r="R11" i="32"/>
  <c r="U11" i="32"/>
  <c r="AA11" i="32" l="1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H3" i="72"/>
  <c r="I3" i="72" s="1"/>
  <c r="J3" i="72" s="1"/>
  <c r="H3" i="71"/>
  <c r="I3" i="71" s="1"/>
  <c r="J3" i="71" s="1"/>
  <c r="K3" i="71" s="1"/>
  <c r="L3" i="71" s="1"/>
  <c r="M3" i="71" s="1"/>
  <c r="N3" i="71" s="1"/>
  <c r="O3" i="71"/>
  <c r="P3" i="71"/>
  <c r="Q3" i="71"/>
  <c r="R3" i="71"/>
  <c r="S3" i="71"/>
  <c r="T3" i="71"/>
  <c r="U3" i="71"/>
  <c r="V3" i="71"/>
  <c r="W3" i="71"/>
  <c r="X3" i="71"/>
  <c r="Y3" i="71"/>
  <c r="Z3" i="71"/>
  <c r="AA3" i="71"/>
  <c r="AB3" i="71"/>
  <c r="AC3" i="71"/>
  <c r="AD3" i="71"/>
  <c r="AE3" i="71"/>
  <c r="AF3" i="71"/>
  <c r="S31" i="71"/>
  <c r="T31" i="71"/>
  <c r="U31" i="71"/>
  <c r="V31" i="71"/>
  <c r="W31" i="71"/>
  <c r="X31" i="71"/>
  <c r="Y31" i="71"/>
  <c r="Z31" i="71"/>
  <c r="AA31" i="71"/>
  <c r="AB31" i="71"/>
  <c r="AC31" i="71"/>
  <c r="AD31" i="71"/>
  <c r="AE31" i="71"/>
  <c r="AF31" i="71"/>
  <c r="K3" i="32"/>
  <c r="O3" i="32"/>
  <c r="R3" i="32"/>
  <c r="U3" i="32"/>
  <c r="X3" i="32"/>
  <c r="AF29" i="21"/>
  <c r="AE29" i="21"/>
  <c r="AD29" i="21"/>
  <c r="AC29" i="21"/>
  <c r="AB29" i="21"/>
  <c r="AA29" i="21"/>
  <c r="Z29" i="21"/>
  <c r="Y29" i="21"/>
  <c r="X29" i="21"/>
  <c r="W29" i="21"/>
  <c r="V29" i="21"/>
  <c r="U29" i="21"/>
  <c r="T29" i="21"/>
  <c r="S29" i="21"/>
  <c r="AF3" i="21"/>
  <c r="AE3" i="21"/>
  <c r="AD3" i="21"/>
  <c r="AC3" i="21"/>
  <c r="AB3" i="21"/>
  <c r="AA3" i="21"/>
  <c r="Z3" i="21"/>
  <c r="Y3" i="21"/>
  <c r="X3" i="21"/>
  <c r="W3" i="21"/>
  <c r="V3" i="21"/>
  <c r="U3" i="21"/>
  <c r="T3" i="21"/>
  <c r="S3" i="21"/>
  <c r="R3" i="21"/>
  <c r="Q3" i="21"/>
  <c r="P3" i="21"/>
  <c r="O3" i="21"/>
  <c r="N3" i="21"/>
  <c r="M3" i="21"/>
  <c r="L3" i="21"/>
  <c r="K3" i="21"/>
  <c r="J3" i="21"/>
  <c r="I3" i="21"/>
  <c r="H3" i="21"/>
  <c r="AI3" i="32"/>
  <c r="K11" i="32"/>
  <c r="X10" i="32"/>
  <c r="R10" i="32"/>
  <c r="O10" i="32"/>
  <c r="U10" i="32"/>
  <c r="AI10" i="32"/>
  <c r="F30" i="71"/>
  <c r="F28" i="21"/>
  <c r="K10" i="32"/>
  <c r="AE11" i="32" l="1"/>
  <c r="AA3" i="32"/>
  <c r="AE3" i="32" s="1"/>
  <c r="R13" i="32"/>
  <c r="U13" i="32"/>
  <c r="X13" i="32"/>
  <c r="K13" i="32"/>
  <c r="AI13" i="32"/>
  <c r="AA10" i="32"/>
  <c r="AA13" i="32" s="1"/>
  <c r="O13" i="32"/>
  <c r="O14" i="32" l="1"/>
  <c r="AE10" i="32"/>
  <c r="AE13" i="32" s="1"/>
  <c r="AE14" i="32" s="1"/>
  <c r="R14" i="32"/>
  <c r="U14" i="32"/>
  <c r="AA14" i="32"/>
  <c r="X14" i="32"/>
</calcChain>
</file>

<file path=xl/comments1.xml><?xml version="1.0" encoding="utf-8"?>
<comments xmlns="http://schemas.openxmlformats.org/spreadsheetml/2006/main">
  <authors>
    <author>sangeeta</author>
  </authors>
  <commentList>
    <comment ref="R9" authorId="0" shape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 shape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 shape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<sst xmlns="http://schemas.openxmlformats.org/spreadsheetml/2006/main" count="208" uniqueCount="110">
  <si>
    <t>Creators Name</t>
    <phoneticPr fontId="2"/>
  </si>
  <si>
    <t>Test Result</t>
    <phoneticPr fontId="2"/>
  </si>
  <si>
    <t>Total</t>
    <phoneticPr fontId="2"/>
  </si>
  <si>
    <t>% of Total</t>
    <phoneticPr fontId="2"/>
  </si>
  <si>
    <t>Module Code</t>
    <phoneticPr fontId="2"/>
  </si>
  <si>
    <t>Project Code</t>
    <phoneticPr fontId="2"/>
  </si>
  <si>
    <t>&lt;Project Name&gt;</t>
    <phoneticPr fontId="2"/>
  </si>
  <si>
    <t>&lt;Module Name&gt;</t>
    <phoneticPr fontId="2"/>
  </si>
  <si>
    <t>&lt;code&gt;</t>
    <phoneticPr fontId="2"/>
  </si>
  <si>
    <t>&lt;Person Name&gt;</t>
    <phoneticPr fontId="2"/>
  </si>
  <si>
    <t>Date</t>
    <phoneticPr fontId="2"/>
  </si>
  <si>
    <t>&lt;Function Name&gt;</t>
    <phoneticPr fontId="2"/>
  </si>
  <si>
    <t>Page</t>
    <phoneticPr fontId="2"/>
  </si>
  <si>
    <t>1</t>
    <phoneticPr fontId="2"/>
  </si>
  <si>
    <t>New PCL</t>
    <phoneticPr fontId="2"/>
  </si>
  <si>
    <t>No</t>
    <phoneticPr fontId="2"/>
  </si>
  <si>
    <t>Function Name</t>
    <phoneticPr fontId="2"/>
  </si>
  <si>
    <t>OK</t>
    <phoneticPr fontId="2"/>
  </si>
  <si>
    <t>NG</t>
    <phoneticPr fontId="2"/>
  </si>
  <si>
    <t>PT</t>
    <phoneticPr fontId="2"/>
  </si>
  <si>
    <t>NA</t>
    <phoneticPr fontId="2"/>
  </si>
  <si>
    <t>Method Name</t>
    <phoneticPr fontId="2"/>
  </si>
  <si>
    <t>Caller function / Event</t>
    <phoneticPr fontId="2"/>
  </si>
  <si>
    <t>①</t>
    <phoneticPr fontId="2"/>
  </si>
  <si>
    <t>②</t>
    <phoneticPr fontId="2"/>
  </si>
  <si>
    <t>Verification of path flow during program execution</t>
    <phoneticPr fontId="2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</si>
  <si>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2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</si>
  <si>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2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</si>
  <si>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2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</si>
  <si>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2"/>
  </si>
  <si>
    <t>Bug Count</t>
    <phoneticPr fontId="2"/>
  </si>
  <si>
    <t>Test Cases</t>
    <phoneticPr fontId="2"/>
  </si>
  <si>
    <t>Done</t>
    <phoneticPr fontId="2"/>
  </si>
  <si>
    <t>Total Test</t>
    <phoneticPr fontId="2"/>
  </si>
  <si>
    <t>Not Done</t>
    <phoneticPr fontId="2"/>
  </si>
  <si>
    <t>Total Bugs</t>
    <phoneticPr fontId="2"/>
  </si>
  <si>
    <t>Condition Type</t>
    <phoneticPr fontId="2"/>
  </si>
  <si>
    <t>Tested By</t>
    <phoneticPr fontId="2"/>
  </si>
  <si>
    <t>Test Date</t>
    <phoneticPr fontId="2"/>
  </si>
  <si>
    <t>Test Result</t>
    <phoneticPr fontId="2"/>
  </si>
  <si>
    <t>Bug ID</t>
    <phoneticPr fontId="2"/>
  </si>
  <si>
    <t xml:space="preserve"> </t>
    <phoneticPr fontId="2"/>
  </si>
  <si>
    <t>Check Conditions / Verification Content</t>
    <phoneticPr fontId="2"/>
  </si>
  <si>
    <t xml:space="preserve">Test Case Number </t>
    <phoneticPr fontId="2"/>
  </si>
  <si>
    <t>Input 
Conditions</t>
    <phoneticPr fontId="2"/>
  </si>
  <si>
    <t>Check Items</t>
    <phoneticPr fontId="2"/>
  </si>
  <si>
    <t>Test Status</t>
    <phoneticPr fontId="2"/>
  </si>
  <si>
    <t>Bug Details</t>
    <phoneticPr fontId="2"/>
  </si>
  <si>
    <t>Click "Add New PCL" button, 
to add new PCL sheet</t>
    <phoneticPr fontId="2"/>
  </si>
  <si>
    <t>Upload_Click</t>
  </si>
  <si>
    <t>Page_Load</t>
  </si>
  <si>
    <t>Page Title</t>
  </si>
  <si>
    <t>File Upload:</t>
  </si>
  <si>
    <t>○</t>
  </si>
  <si>
    <t>Clickable</t>
  </si>
  <si>
    <t>N</t>
  </si>
  <si>
    <t>A</t>
  </si>
  <si>
    <t>Success.jpg</t>
  </si>
  <si>
    <t>No error message is displayed and followuing message is displayed</t>
  </si>
  <si>
    <t>File Uploaded Successfully</t>
  </si>
  <si>
    <t>Upload _Button_Click</t>
  </si>
  <si>
    <t>Project Code</t>
  </si>
  <si>
    <t>WDG</t>
  </si>
  <si>
    <t>Creators Name</t>
  </si>
  <si>
    <t>Date</t>
  </si>
  <si>
    <t>Module Code</t>
  </si>
  <si>
    <t>Assignment8</t>
  </si>
  <si>
    <t>FileUploader</t>
  </si>
  <si>
    <t>1</t>
  </si>
  <si>
    <t>2</t>
  </si>
  <si>
    <t>Choose File</t>
  </si>
  <si>
    <t>Home</t>
  </si>
  <si>
    <t>Select a file to upload:</t>
  </si>
  <si>
    <t>Upload File</t>
  </si>
  <si>
    <t>File Uploading Form</t>
  </si>
  <si>
    <t>Page will be redirected to Error Page</t>
  </si>
  <si>
    <t>Page</t>
  </si>
  <si>
    <t>Check Conditions / Verification Content</t>
  </si>
  <si>
    <t xml:space="preserve">Test Case Number </t>
  </si>
  <si>
    <t>Input 
Conditions</t>
  </si>
  <si>
    <t>FileUploader.jsp</t>
  </si>
  <si>
    <t>Header Text</t>
  </si>
  <si>
    <t>Operation Button</t>
  </si>
  <si>
    <t>Exception Occurred</t>
  </si>
  <si>
    <t>Check Items</t>
  </si>
  <si>
    <t>Verification of path flow during program execution</t>
  </si>
  <si>
    <t>Visible</t>
  </si>
  <si>
    <t>True</t>
  </si>
  <si>
    <t>Test Status</t>
  </si>
  <si>
    <t>Condition Type</t>
  </si>
  <si>
    <t>Tested By</t>
  </si>
  <si>
    <t>Test Date</t>
  </si>
  <si>
    <t>Test Result</t>
  </si>
  <si>
    <t>Bug Details</t>
  </si>
  <si>
    <t>Bug ID</t>
  </si>
  <si>
    <t>Bug Count</t>
  </si>
  <si>
    <t>PersonalDetailsSubmission.java</t>
  </si>
  <si>
    <t>Page will be Displays ERROR</t>
  </si>
  <si>
    <t>No File Choosen</t>
  </si>
  <si>
    <t>Following  message is displayed</t>
  </si>
  <si>
    <t>Please Select the file</t>
  </si>
  <si>
    <t>Label</t>
  </si>
  <si>
    <t>Element</t>
  </si>
  <si>
    <t>Selected file uploaded to the following path</t>
  </si>
  <si>
    <t xml:space="preserve">D:\upload\Success.jpg </t>
  </si>
  <si>
    <t>[ Project Code : Skillup_JSP ]</t>
  </si>
  <si>
    <t>Kailas Landge</t>
  </si>
  <si>
    <t>Skillup_JSP</t>
  </si>
  <si>
    <t>kailas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</si>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</sst>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yyyy/mm/dd;[Red]@"/>
  </numFmts>
  <fonts count="2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6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</cellStyleXfs>
  <cellXfs count="220">
    <xf numFmtId="0" fontId="0" fillId="0" borderId="0" xfId="0"/>
    <xf numFmtId="49" fontId="8" fillId="0" borderId="0" xfId="5" applyNumberFormat="1" applyFont="1" applyFill="1">
      <alignment vertical="center"/>
    </xf>
    <xf numFmtId="0" fontId="9" fillId="0" borderId="0" xfId="1" applyFont="1" applyAlignment="1">
      <alignment vertical="center"/>
    </xf>
    <xf numFmtId="0" fontId="9" fillId="0" borderId="0" xfId="1" applyFont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164" fontId="11" fillId="0" borderId="1" xfId="1" applyNumberFormat="1" applyFont="1" applyFill="1" applyBorder="1" applyAlignment="1">
      <alignment horizontal="center" vertical="center"/>
    </xf>
    <xf numFmtId="164" fontId="11" fillId="0" borderId="1" xfId="1" applyNumberFormat="1" applyFont="1" applyFill="1" applyBorder="1" applyAlignment="1">
      <alignment horizontal="left" vertical="center"/>
    </xf>
    <xf numFmtId="164" fontId="11" fillId="0" borderId="2" xfId="1" applyNumberFormat="1" applyFont="1" applyFill="1" applyBorder="1" applyAlignment="1">
      <alignment horizontal="center" vertical="center"/>
    </xf>
    <xf numFmtId="0" fontId="11" fillId="0" borderId="0" xfId="1" applyFont="1" applyFill="1" applyBorder="1" applyAlignment="1">
      <alignment horizontal="center" vertical="center"/>
    </xf>
    <xf numFmtId="49" fontId="8" fillId="0" borderId="0" xfId="5" applyNumberFormat="1" applyFont="1" applyFill="1" applyBorder="1">
      <alignment vertical="center"/>
    </xf>
    <xf numFmtId="49" fontId="8" fillId="0" borderId="3" xfId="5" applyNumberFormat="1" applyFont="1" applyFill="1" applyBorder="1" applyAlignment="1"/>
    <xf numFmtId="164" fontId="8" fillId="0" borderId="4" xfId="5" applyNumberFormat="1" applyFont="1" applyFill="1" applyBorder="1" applyAlignment="1">
      <alignment horizontal="center" vertical="center"/>
    </xf>
    <xf numFmtId="164" fontId="8" fillId="0" borderId="5" xfId="5" applyNumberFormat="1" applyFont="1" applyFill="1" applyBorder="1" applyAlignment="1">
      <alignment horizontal="center" vertical="center"/>
    </xf>
    <xf numFmtId="164" fontId="8" fillId="0" borderId="6" xfId="5" applyNumberFormat="1" applyFont="1" applyFill="1" applyBorder="1" applyAlignment="1">
      <alignment horizontal="center" vertical="center"/>
    </xf>
    <xf numFmtId="49" fontId="8" fillId="0" borderId="7" xfId="0" applyNumberFormat="1" applyFont="1" applyFill="1" applyBorder="1" applyAlignment="1">
      <alignment horizontal="center" vertical="top" wrapText="1"/>
    </xf>
    <xf numFmtId="49" fontId="8" fillId="0" borderId="8" xfId="0" applyNumberFormat="1" applyFont="1" applyFill="1" applyBorder="1" applyAlignment="1">
      <alignment horizontal="center" vertical="top" wrapText="1"/>
    </xf>
    <xf numFmtId="49" fontId="8" fillId="0" borderId="9" xfId="0" applyNumberFormat="1" applyFont="1" applyFill="1" applyBorder="1" applyAlignment="1">
      <alignment horizontal="center" vertical="top" wrapText="1"/>
    </xf>
    <xf numFmtId="49" fontId="8" fillId="0" borderId="0" xfId="5" applyNumberFormat="1" applyFont="1" applyFill="1" applyAlignment="1">
      <alignment vertical="center" wrapText="1"/>
    </xf>
    <xf numFmtId="49" fontId="8" fillId="0" borderId="10" xfId="0" applyNumberFormat="1" applyFont="1" applyFill="1" applyBorder="1" applyAlignment="1">
      <alignment horizontal="center" vertical="top" wrapText="1"/>
    </xf>
    <xf numFmtId="49" fontId="8" fillId="0" borderId="11" xfId="0" applyNumberFormat="1" applyFont="1" applyFill="1" applyBorder="1" applyAlignment="1">
      <alignment horizontal="center" vertical="top" wrapText="1"/>
    </xf>
    <xf numFmtId="49" fontId="8" fillId="0" borderId="12" xfId="0" applyNumberFormat="1" applyFont="1" applyFill="1" applyBorder="1" applyAlignment="1">
      <alignment horizontal="center" vertical="top" wrapText="1"/>
    </xf>
    <xf numFmtId="49" fontId="8" fillId="0" borderId="0" xfId="0" applyNumberFormat="1" applyFont="1" applyFill="1" applyBorder="1" applyAlignment="1">
      <alignment horizontal="left" vertical="top" wrapText="1"/>
    </xf>
    <xf numFmtId="49" fontId="8" fillId="0" borderId="10" xfId="0" applyNumberFormat="1" applyFont="1" applyFill="1" applyBorder="1" applyAlignment="1">
      <alignment horizontal="center" vertical="center" wrapText="1"/>
    </xf>
    <xf numFmtId="49" fontId="8" fillId="0" borderId="11" xfId="0" applyNumberFormat="1" applyFont="1" applyFill="1" applyBorder="1" applyAlignment="1">
      <alignment horizontal="center" vertical="center" wrapText="1"/>
    </xf>
    <xf numFmtId="49" fontId="8" fillId="0" borderId="12" xfId="0" applyNumberFormat="1" applyFont="1" applyFill="1" applyBorder="1" applyAlignment="1">
      <alignment horizontal="center" vertical="center" wrapText="1"/>
    </xf>
    <xf numFmtId="49" fontId="8" fillId="0" borderId="7" xfId="0" applyNumberFormat="1" applyFont="1" applyFill="1" applyBorder="1" applyAlignment="1">
      <alignment horizontal="center" vertical="center" wrapText="1"/>
    </xf>
    <xf numFmtId="49" fontId="8" fillId="0" borderId="8" xfId="0" applyNumberFormat="1" applyFont="1" applyFill="1" applyBorder="1" applyAlignment="1">
      <alignment horizontal="center" vertical="center" wrapText="1"/>
    </xf>
    <xf numFmtId="49" fontId="8" fillId="0" borderId="9" xfId="0" applyNumberFormat="1" applyFont="1" applyFill="1" applyBorder="1" applyAlignment="1">
      <alignment horizontal="center" vertical="center" wrapText="1"/>
    </xf>
    <xf numFmtId="49" fontId="8" fillId="0" borderId="13" xfId="0" applyNumberFormat="1" applyFont="1" applyFill="1" applyBorder="1" applyAlignment="1">
      <alignment horizontal="left" vertical="top" wrapText="1"/>
    </xf>
    <xf numFmtId="49" fontId="8" fillId="0" borderId="14" xfId="0" applyNumberFormat="1" applyFont="1" applyFill="1" applyBorder="1" applyAlignment="1">
      <alignment horizontal="center" vertical="center" wrapText="1"/>
    </xf>
    <xf numFmtId="49" fontId="8" fillId="0" borderId="15" xfId="0" applyNumberFormat="1" applyFont="1" applyFill="1" applyBorder="1" applyAlignment="1">
      <alignment horizontal="center" vertical="center" wrapText="1"/>
    </xf>
    <xf numFmtId="49" fontId="8" fillId="0" borderId="16" xfId="0" applyNumberFormat="1" applyFont="1" applyFill="1" applyBorder="1" applyAlignment="1">
      <alignment horizontal="center" vertical="center" wrapText="1"/>
    </xf>
    <xf numFmtId="49" fontId="8" fillId="0" borderId="17" xfId="0" applyNumberFormat="1" applyFont="1" applyFill="1" applyBorder="1" applyAlignment="1">
      <alignment horizontal="center" vertical="center" wrapText="1"/>
    </xf>
    <xf numFmtId="49" fontId="8" fillId="0" borderId="18" xfId="0" applyNumberFormat="1" applyFont="1" applyFill="1" applyBorder="1" applyAlignment="1">
      <alignment horizontal="center" vertical="center" wrapText="1"/>
    </xf>
    <xf numFmtId="49" fontId="8" fillId="0" borderId="19" xfId="0" applyNumberFormat="1" applyFont="1" applyFill="1" applyBorder="1" applyAlignment="1">
      <alignment horizontal="center" vertical="center" wrapText="1"/>
    </xf>
    <xf numFmtId="49" fontId="8" fillId="0" borderId="20" xfId="5" applyNumberFormat="1" applyFont="1" applyFill="1" applyBorder="1" applyAlignment="1">
      <alignment horizontal="center" vertical="center" wrapText="1"/>
    </xf>
    <xf numFmtId="49" fontId="8" fillId="0" borderId="7" xfId="5" applyNumberFormat="1" applyFont="1" applyFill="1" applyBorder="1" applyAlignment="1">
      <alignment horizontal="center" vertical="center" wrapText="1"/>
    </xf>
    <xf numFmtId="49" fontId="8" fillId="0" borderId="8" xfId="5" applyNumberFormat="1" applyFont="1" applyFill="1" applyBorder="1" applyAlignment="1">
      <alignment horizontal="center" vertical="center" wrapText="1"/>
    </xf>
    <xf numFmtId="49" fontId="8" fillId="0" borderId="9" xfId="5" applyNumberFormat="1" applyFont="1" applyFill="1" applyBorder="1" applyAlignment="1">
      <alignment horizontal="center" vertical="center" wrapText="1"/>
    </xf>
    <xf numFmtId="49" fontId="8" fillId="0" borderId="21" xfId="5" applyNumberFormat="1" applyFont="1" applyFill="1" applyBorder="1" applyAlignment="1">
      <alignment horizontal="center" vertical="center" wrapText="1"/>
    </xf>
    <xf numFmtId="49" fontId="8" fillId="0" borderId="10" xfId="5" applyNumberFormat="1" applyFont="1" applyFill="1" applyBorder="1" applyAlignment="1">
      <alignment horizontal="center" vertical="center" wrapText="1"/>
    </xf>
    <xf numFmtId="49" fontId="8" fillId="0" borderId="11" xfId="5" applyNumberFormat="1" applyFont="1" applyFill="1" applyBorder="1" applyAlignment="1">
      <alignment horizontal="center" vertical="center" wrapText="1"/>
    </xf>
    <xf numFmtId="49" fontId="8" fillId="0" borderId="12" xfId="5" applyNumberFormat="1" applyFont="1" applyFill="1" applyBorder="1" applyAlignment="1">
      <alignment horizontal="center" vertical="center" wrapText="1"/>
    </xf>
    <xf numFmtId="165" fontId="8" fillId="0" borderId="10" xfId="5" applyNumberFormat="1" applyFont="1" applyFill="1" applyBorder="1" applyAlignment="1">
      <alignment horizontal="center" vertical="center" wrapText="1"/>
    </xf>
    <xf numFmtId="165" fontId="8" fillId="0" borderId="11" xfId="5" applyNumberFormat="1" applyFont="1" applyFill="1" applyBorder="1" applyAlignment="1">
      <alignment horizontal="center" vertical="center" wrapText="1"/>
    </xf>
    <xf numFmtId="165" fontId="8" fillId="0" borderId="12" xfId="5" applyNumberFormat="1" applyFont="1" applyFill="1" applyBorder="1" applyAlignment="1">
      <alignment horizontal="center" vertical="center" wrapText="1"/>
    </xf>
    <xf numFmtId="49" fontId="8" fillId="0" borderId="22" xfId="5" applyNumberFormat="1" applyFont="1" applyFill="1" applyBorder="1" applyAlignment="1">
      <alignment horizontal="center" vertical="center" wrapText="1"/>
    </xf>
    <xf numFmtId="49" fontId="8" fillId="0" borderId="0" xfId="5" applyNumberFormat="1" applyFont="1" applyFill="1" applyAlignment="1">
      <alignment horizontal="center" vertical="center" wrapText="1"/>
    </xf>
    <xf numFmtId="49" fontId="8" fillId="0" borderId="23" xfId="5" applyNumberFormat="1" applyFont="1" applyFill="1" applyBorder="1" applyAlignment="1">
      <alignment horizontal="center" vertical="center" wrapText="1"/>
    </xf>
    <xf numFmtId="49" fontId="8" fillId="0" borderId="0" xfId="5" applyNumberFormat="1" applyFont="1" applyFill="1" applyBorder="1" applyAlignment="1">
      <alignment horizontal="center" vertical="center" wrapText="1"/>
    </xf>
    <xf numFmtId="49" fontId="8" fillId="0" borderId="0" xfId="5" applyNumberFormat="1" applyFont="1" applyFill="1" applyBorder="1" applyAlignment="1">
      <alignment vertical="center" wrapText="1"/>
    </xf>
    <xf numFmtId="49" fontId="8" fillId="0" borderId="0" xfId="5" applyNumberFormat="1" applyFont="1" applyFill="1" applyBorder="1" applyAlignment="1">
      <alignment horizontal="center" vertical="center"/>
    </xf>
    <xf numFmtId="164" fontId="11" fillId="0" borderId="2" xfId="1" applyNumberFormat="1" applyFont="1" applyFill="1" applyBorder="1" applyAlignment="1">
      <alignment horizontal="left" vertical="center"/>
    </xf>
    <xf numFmtId="49" fontId="8" fillId="0" borderId="15" xfId="5" applyNumberFormat="1" applyFont="1" applyFill="1" applyBorder="1" applyAlignment="1">
      <alignment horizontal="center" vertical="center" wrapText="1"/>
    </xf>
    <xf numFmtId="49" fontId="8" fillId="0" borderId="16" xfId="5" applyNumberFormat="1" applyFont="1" applyFill="1" applyBorder="1" applyAlignment="1">
      <alignment horizontal="center" vertical="center" wrapText="1"/>
    </xf>
    <xf numFmtId="0" fontId="8" fillId="0" borderId="18" xfId="5" applyNumberFormat="1" applyFont="1" applyFill="1" applyBorder="1" applyAlignment="1">
      <alignment horizontal="center" vertical="center" wrapText="1"/>
    </xf>
    <xf numFmtId="0" fontId="8" fillId="0" borderId="19" xfId="5" applyNumberFormat="1" applyFont="1" applyFill="1" applyBorder="1" applyAlignment="1">
      <alignment horizontal="center" vertical="center" wrapText="1"/>
    </xf>
    <xf numFmtId="164" fontId="9" fillId="0" borderId="0" xfId="1" applyNumberFormat="1" applyFont="1" applyFill="1" applyBorder="1" applyAlignment="1">
      <alignment horizontal="center" vertical="center"/>
    </xf>
    <xf numFmtId="164" fontId="9" fillId="0" borderId="0" xfId="1" applyNumberFormat="1" applyFont="1" applyFill="1" applyBorder="1" applyAlignment="1">
      <alignment horizontal="left" vertical="center"/>
    </xf>
    <xf numFmtId="0" fontId="9" fillId="0" borderId="0" xfId="1" applyFont="1" applyFill="1" applyAlignment="1">
      <alignment horizontal="center" vertical="center"/>
    </xf>
    <xf numFmtId="49" fontId="8" fillId="0" borderId="14" xfId="5" applyNumberFormat="1" applyFont="1" applyFill="1" applyBorder="1" applyAlignment="1">
      <alignment horizontal="center" vertical="center" wrapText="1"/>
    </xf>
    <xf numFmtId="0" fontId="8" fillId="0" borderId="17" xfId="5" applyNumberFormat="1" applyFont="1" applyFill="1" applyBorder="1" applyAlignment="1">
      <alignment horizontal="center" vertical="center" wrapText="1"/>
    </xf>
    <xf numFmtId="49" fontId="12" fillId="0" borderId="11" xfId="0" applyNumberFormat="1" applyFont="1" applyFill="1" applyBorder="1" applyAlignment="1">
      <alignment horizontal="center" vertical="center" wrapText="1"/>
    </xf>
    <xf numFmtId="49" fontId="8" fillId="2" borderId="7" xfId="5" applyNumberFormat="1" applyFont="1" applyFill="1" applyBorder="1" applyAlignment="1">
      <alignment vertical="center"/>
    </xf>
    <xf numFmtId="49" fontId="8" fillId="2" borderId="17" xfId="5" applyNumberFormat="1" applyFont="1" applyFill="1" applyBorder="1" applyAlignment="1">
      <alignment vertical="center"/>
    </xf>
    <xf numFmtId="49" fontId="13" fillId="0" borderId="24" xfId="5" applyNumberFormat="1" applyFont="1" applyFill="1" applyBorder="1" applyAlignment="1">
      <alignment horizontal="right" vertical="top" wrapText="1"/>
    </xf>
    <xf numFmtId="49" fontId="18" fillId="0" borderId="4" xfId="5" applyNumberFormat="1" applyFont="1" applyFill="1" applyBorder="1" applyAlignment="1"/>
    <xf numFmtId="49" fontId="12" fillId="0" borderId="8" xfId="0" applyNumberFormat="1" applyFont="1" applyFill="1" applyBorder="1" applyAlignment="1">
      <alignment horizontal="center" vertical="center" wrapText="1"/>
    </xf>
    <xf numFmtId="49" fontId="12" fillId="0" borderId="15" xfId="0" applyNumberFormat="1" applyFont="1" applyFill="1" applyBorder="1" applyAlignment="1">
      <alignment horizontal="center" vertical="center" wrapText="1"/>
    </xf>
    <xf numFmtId="49" fontId="12" fillId="0" borderId="11" xfId="5" applyNumberFormat="1" applyFont="1" applyFill="1" applyBorder="1" applyAlignment="1">
      <alignment horizontal="center" vertical="center" wrapText="1"/>
    </xf>
    <xf numFmtId="49" fontId="12" fillId="0" borderId="18" xfId="0" applyNumberFormat="1" applyFont="1" applyFill="1" applyBorder="1" applyAlignment="1">
      <alignment horizontal="center" vertical="center" wrapText="1"/>
    </xf>
    <xf numFmtId="49" fontId="8" fillId="0" borderId="15" xfId="4" applyNumberFormat="1" applyFont="1" applyFill="1" applyBorder="1" applyAlignment="1">
      <alignment horizontal="center" wrapText="1"/>
    </xf>
    <xf numFmtId="49" fontId="8" fillId="0" borderId="11" xfId="5" applyNumberFormat="1" applyFont="1" applyFill="1" applyBorder="1" applyAlignment="1">
      <alignment horizontal="center" vertical="center" wrapText="1"/>
    </xf>
    <xf numFmtId="49" fontId="8" fillId="0" borderId="11" xfId="0" applyNumberFormat="1" applyFont="1" applyFill="1" applyBorder="1" applyAlignment="1">
      <alignment horizontal="center" vertical="top" wrapText="1"/>
    </xf>
    <xf numFmtId="49" fontId="8" fillId="0" borderId="11" xfId="4" applyNumberFormat="1" applyFont="1" applyFill="1" applyBorder="1" applyAlignment="1">
      <alignment horizontal="left" wrapText="1"/>
    </xf>
    <xf numFmtId="49" fontId="8" fillId="0" borderId="22" xfId="5" applyNumberFormat="1" applyFont="1" applyFill="1" applyBorder="1" applyAlignment="1">
      <alignment horizontal="center" vertical="center" wrapText="1"/>
    </xf>
    <xf numFmtId="49" fontId="8" fillId="0" borderId="48" xfId="0" applyNumberFormat="1" applyFont="1" applyFill="1" applyBorder="1" applyAlignment="1">
      <alignment horizontal="center" vertical="center" wrapText="1"/>
    </xf>
    <xf numFmtId="49" fontId="8" fillId="0" borderId="46" xfId="0" applyNumberFormat="1" applyFont="1" applyFill="1" applyBorder="1" applyAlignment="1">
      <alignment horizontal="center" vertical="center" wrapText="1"/>
    </xf>
    <xf numFmtId="49" fontId="8" fillId="0" borderId="49" xfId="0" applyNumberFormat="1" applyFont="1" applyFill="1" applyBorder="1" applyAlignment="1">
      <alignment horizontal="center" vertical="center" wrapText="1"/>
    </xf>
    <xf numFmtId="49" fontId="8" fillId="0" borderId="11" xfId="4" applyNumberFormat="1" applyFont="1" applyFill="1" applyBorder="1" applyAlignment="1">
      <alignment wrapText="1"/>
    </xf>
    <xf numFmtId="0" fontId="9" fillId="5" borderId="27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9" fillId="5" borderId="28" xfId="0" applyFont="1" applyFill="1" applyBorder="1" applyAlignment="1">
      <alignment horizontal="center" vertical="center" wrapText="1"/>
    </xf>
    <xf numFmtId="0" fontId="9" fillId="5" borderId="21" xfId="0" applyFont="1" applyFill="1" applyBorder="1" applyAlignment="1">
      <alignment horizontal="center" vertical="center" wrapText="1"/>
    </xf>
    <xf numFmtId="0" fontId="9" fillId="5" borderId="29" xfId="0" applyFont="1" applyFill="1" applyBorder="1" applyAlignment="1">
      <alignment horizontal="center" vertical="center" wrapText="1"/>
    </xf>
    <xf numFmtId="0" fontId="9" fillId="5" borderId="30" xfId="0" applyFont="1" applyFill="1" applyBorder="1" applyAlignment="1">
      <alignment horizontal="center" vertical="center" wrapText="1"/>
    </xf>
    <xf numFmtId="9" fontId="9" fillId="4" borderId="22" xfId="2" applyNumberFormat="1" applyFont="1" applyFill="1" applyBorder="1" applyAlignment="1">
      <alignment horizontal="center" vertical="center"/>
    </xf>
    <xf numFmtId="9" fontId="9" fillId="4" borderId="1" xfId="2" applyNumberFormat="1" applyFont="1" applyFill="1" applyBorder="1" applyAlignment="1">
      <alignment horizontal="center" vertical="center"/>
    </xf>
    <xf numFmtId="9" fontId="9" fillId="4" borderId="25" xfId="2" applyNumberFormat="1" applyFont="1" applyFill="1" applyBorder="1" applyAlignment="1">
      <alignment horizontal="center" vertical="center"/>
    </xf>
    <xf numFmtId="0" fontId="9" fillId="7" borderId="22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9" fillId="7" borderId="25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4" fontId="9" fillId="5" borderId="22" xfId="1" applyNumberFormat="1" applyFont="1" applyFill="1" applyBorder="1" applyAlignment="1">
      <alignment horizontal="center" vertical="center"/>
    </xf>
    <xf numFmtId="164" fontId="9" fillId="5" borderId="1" xfId="1" applyNumberFormat="1" applyFont="1" applyFill="1" applyBorder="1" applyAlignment="1">
      <alignment horizontal="center" vertical="center"/>
    </xf>
    <xf numFmtId="164" fontId="9" fillId="5" borderId="25" xfId="1" applyNumberFormat="1" applyFont="1" applyFill="1" applyBorder="1" applyAlignment="1">
      <alignment horizontal="center" vertical="center"/>
    </xf>
    <xf numFmtId="164" fontId="9" fillId="0" borderId="22" xfId="1" applyNumberFormat="1" applyFont="1" applyBorder="1" applyAlignment="1">
      <alignment horizontal="center" vertical="center"/>
    </xf>
    <xf numFmtId="164" fontId="9" fillId="0" borderId="1" xfId="1" applyNumberFormat="1" applyFont="1" applyBorder="1" applyAlignment="1">
      <alignment horizontal="center" vertical="center"/>
    </xf>
    <xf numFmtId="164" fontId="9" fillId="0" borderId="25" xfId="1" applyNumberFormat="1" applyFont="1" applyBorder="1" applyAlignment="1">
      <alignment horizontal="center" vertical="center"/>
    </xf>
    <xf numFmtId="164" fontId="9" fillId="4" borderId="27" xfId="1" applyNumberFormat="1" applyFont="1" applyFill="1" applyBorder="1" applyAlignment="1">
      <alignment horizontal="center" vertical="center"/>
    </xf>
    <xf numFmtId="164" fontId="9" fillId="4" borderId="2" xfId="1" applyNumberFormat="1" applyFont="1" applyFill="1" applyBorder="1" applyAlignment="1">
      <alignment horizontal="center" vertical="center"/>
    </xf>
    <xf numFmtId="164" fontId="9" fillId="4" borderId="28" xfId="1" applyNumberFormat="1" applyFont="1" applyFill="1" applyBorder="1" applyAlignment="1">
      <alignment horizontal="center" vertical="center"/>
    </xf>
    <xf numFmtId="164" fontId="9" fillId="4" borderId="21" xfId="1" applyNumberFormat="1" applyFont="1" applyFill="1" applyBorder="1" applyAlignment="1">
      <alignment horizontal="center" vertical="center"/>
    </xf>
    <xf numFmtId="164" fontId="9" fillId="4" borderId="29" xfId="1" applyNumberFormat="1" applyFont="1" applyFill="1" applyBorder="1" applyAlignment="1">
      <alignment horizontal="center" vertical="center"/>
    </xf>
    <xf numFmtId="164" fontId="9" fillId="4" borderId="30" xfId="1" applyNumberFormat="1" applyFont="1" applyFill="1" applyBorder="1" applyAlignment="1">
      <alignment horizontal="center" vertical="center"/>
    </xf>
    <xf numFmtId="164" fontId="9" fillId="4" borderId="22" xfId="1" applyNumberFormat="1" applyFont="1" applyFill="1" applyBorder="1" applyAlignment="1">
      <alignment horizontal="center" vertical="center"/>
    </xf>
    <xf numFmtId="164" fontId="9" fillId="4" borderId="1" xfId="1" applyNumberFormat="1" applyFont="1" applyFill="1" applyBorder="1" applyAlignment="1">
      <alignment horizontal="center" vertical="center"/>
    </xf>
    <xf numFmtId="164" fontId="9" fillId="4" borderId="25" xfId="1" applyNumberFormat="1" applyFont="1" applyFill="1" applyBorder="1" applyAlignment="1">
      <alignment horizontal="center" vertical="center"/>
    </xf>
    <xf numFmtId="164" fontId="9" fillId="2" borderId="22" xfId="1" applyNumberFormat="1" applyFont="1" applyFill="1" applyBorder="1" applyAlignment="1">
      <alignment horizontal="center" vertical="center"/>
    </xf>
    <xf numFmtId="164" fontId="9" fillId="2" borderId="1" xfId="1" applyNumberFormat="1" applyFont="1" applyFill="1" applyBorder="1" applyAlignment="1">
      <alignment horizontal="center" vertical="center"/>
    </xf>
    <xf numFmtId="164" fontId="9" fillId="2" borderId="25" xfId="1" applyNumberFormat="1" applyFont="1" applyFill="1" applyBorder="1" applyAlignment="1">
      <alignment horizontal="center" vertical="center"/>
    </xf>
    <xf numFmtId="0" fontId="10" fillId="6" borderId="4" xfId="0" applyFont="1" applyFill="1" applyBorder="1" applyAlignment="1" applyProtection="1">
      <alignment horizontal="center" vertical="center" wrapText="1"/>
      <protection locked="0"/>
    </xf>
    <xf numFmtId="0" fontId="10" fillId="6" borderId="3" xfId="0" applyFont="1" applyFill="1" applyBorder="1" applyAlignment="1" applyProtection="1">
      <alignment horizontal="center" vertical="center" wrapText="1"/>
      <protection locked="0"/>
    </xf>
    <xf numFmtId="0" fontId="10" fillId="6" borderId="26" xfId="0" applyFont="1" applyFill="1" applyBorder="1" applyAlignment="1" applyProtection="1">
      <alignment horizontal="center" vertical="center" wrapText="1"/>
      <protection locked="0"/>
    </xf>
    <xf numFmtId="0" fontId="9" fillId="7" borderId="27" xfId="0" applyFont="1" applyFill="1" applyBorder="1" applyAlignment="1">
      <alignment horizontal="center" vertical="center"/>
    </xf>
    <xf numFmtId="0" fontId="9" fillId="7" borderId="28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 wrapText="1"/>
    </xf>
    <xf numFmtId="0" fontId="9" fillId="2" borderId="29" xfId="0" applyFont="1" applyFill="1" applyBorder="1" applyAlignment="1">
      <alignment horizontal="center" vertical="center" wrapText="1"/>
    </xf>
    <xf numFmtId="0" fontId="9" fillId="2" borderId="30" xfId="0" applyFont="1" applyFill="1" applyBorder="1" applyAlignment="1">
      <alignment horizontal="center" vertical="center" wrapText="1"/>
    </xf>
    <xf numFmtId="0" fontId="9" fillId="7" borderId="21" xfId="0" applyFont="1" applyFill="1" applyBorder="1" applyAlignment="1">
      <alignment horizontal="center" vertical="center"/>
    </xf>
    <xf numFmtId="0" fontId="9" fillId="7" borderId="30" xfId="0" applyFont="1" applyFill="1" applyBorder="1" applyAlignment="1">
      <alignment horizontal="center" vertical="center"/>
    </xf>
    <xf numFmtId="0" fontId="9" fillId="7" borderId="29" xfId="0" applyFont="1" applyFill="1" applyBorder="1" applyAlignment="1">
      <alignment horizontal="center" vertical="center"/>
    </xf>
    <xf numFmtId="164" fontId="9" fillId="0" borderId="22" xfId="1" applyNumberFormat="1" applyFont="1" applyBorder="1" applyAlignment="1" applyProtection="1">
      <alignment vertical="center" wrapText="1"/>
      <protection locked="0"/>
    </xf>
    <xf numFmtId="164" fontId="9" fillId="0" borderId="1" xfId="1" applyNumberFormat="1" applyFont="1" applyBorder="1" applyAlignment="1" applyProtection="1">
      <alignment vertical="center" wrapText="1"/>
      <protection locked="0"/>
    </xf>
    <xf numFmtId="164" fontId="9" fillId="0" borderId="25" xfId="1" applyNumberFormat="1" applyFont="1" applyBorder="1" applyAlignment="1" applyProtection="1">
      <alignment vertical="center" wrapText="1"/>
      <protection locked="0"/>
    </xf>
    <xf numFmtId="0" fontId="9" fillId="2" borderId="27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28" xfId="0" applyFont="1" applyFill="1" applyBorder="1" applyAlignment="1">
      <alignment horizontal="center" vertical="center" wrapText="1"/>
    </xf>
    <xf numFmtId="0" fontId="19" fillId="3" borderId="0" xfId="1" applyFont="1" applyFill="1" applyAlignment="1">
      <alignment horizontal="center" vertical="center" wrapText="1"/>
    </xf>
    <xf numFmtId="0" fontId="9" fillId="4" borderId="22" xfId="1" applyFont="1" applyFill="1" applyBorder="1" applyAlignment="1">
      <alignment horizontal="center" vertical="center"/>
    </xf>
    <xf numFmtId="0" fontId="9" fillId="4" borderId="1" xfId="1" applyFont="1" applyFill="1" applyBorder="1" applyAlignment="1">
      <alignment horizontal="center" vertical="center"/>
    </xf>
    <xf numFmtId="0" fontId="9" fillId="4" borderId="25" xfId="1" applyFont="1" applyFill="1" applyBorder="1" applyAlignment="1">
      <alignment horizontal="center" vertical="center"/>
    </xf>
    <xf numFmtId="49" fontId="8" fillId="0" borderId="27" xfId="4" applyNumberFormat="1" applyFont="1" applyFill="1" applyBorder="1" applyAlignment="1">
      <alignment horizontal="left" wrapText="1"/>
    </xf>
    <xf numFmtId="49" fontId="8" fillId="0" borderId="2" xfId="4" applyNumberFormat="1" applyFont="1" applyFill="1" applyBorder="1" applyAlignment="1">
      <alignment horizontal="left" wrapText="1"/>
    </xf>
    <xf numFmtId="49" fontId="8" fillId="0" borderId="22" xfId="4" applyNumberFormat="1" applyFont="1" applyFill="1" applyBorder="1" applyAlignment="1">
      <alignment horizontal="left" wrapText="1"/>
    </xf>
    <xf numFmtId="49" fontId="8" fillId="0" borderId="1" xfId="4" applyNumberFormat="1" applyFont="1" applyFill="1" applyBorder="1" applyAlignment="1">
      <alignment horizontal="left" wrapText="1"/>
    </xf>
    <xf numFmtId="49" fontId="14" fillId="0" borderId="32" xfId="5" applyNumberFormat="1" applyFont="1" applyFill="1" applyBorder="1" applyAlignment="1">
      <alignment horizontal="center" vertical="center" wrapText="1"/>
    </xf>
    <xf numFmtId="49" fontId="14" fillId="0" borderId="33" xfId="5" applyNumberFormat="1" applyFont="1" applyFill="1" applyBorder="1" applyAlignment="1">
      <alignment horizontal="center" vertical="center" wrapText="1"/>
    </xf>
    <xf numFmtId="49" fontId="8" fillId="0" borderId="20" xfId="5" applyNumberFormat="1" applyFont="1" applyFill="1" applyBorder="1" applyAlignment="1">
      <alignment vertical="center" wrapText="1"/>
    </xf>
    <xf numFmtId="49" fontId="8" fillId="0" borderId="34" xfId="5" applyNumberFormat="1" applyFont="1" applyFill="1" applyBorder="1" applyAlignment="1">
      <alignment vertical="center" wrapText="1"/>
    </xf>
    <xf numFmtId="49" fontId="8" fillId="0" borderId="35" xfId="5" applyNumberFormat="1" applyFont="1" applyFill="1" applyBorder="1" applyAlignment="1">
      <alignment vertical="center" wrapText="1"/>
    </xf>
    <xf numFmtId="49" fontId="8" fillId="0" borderId="22" xfId="5" applyNumberFormat="1" applyFont="1" applyFill="1" applyBorder="1" applyAlignment="1">
      <alignment vertical="center" wrapText="1"/>
    </xf>
    <xf numFmtId="49" fontId="8" fillId="0" borderId="1" xfId="5" applyNumberFormat="1" applyFont="1" applyFill="1" applyBorder="1" applyAlignment="1">
      <alignment vertical="center" wrapText="1"/>
    </xf>
    <xf numFmtId="49" fontId="8" fillId="0" borderId="25" xfId="5" applyNumberFormat="1" applyFont="1" applyFill="1" applyBorder="1" applyAlignment="1">
      <alignment vertical="center" wrapText="1"/>
    </xf>
    <xf numFmtId="49" fontId="16" fillId="0" borderId="32" xfId="5" applyNumberFormat="1" applyFont="1" applyFill="1" applyBorder="1" applyAlignment="1">
      <alignment horizontal="center" vertical="center" wrapText="1"/>
    </xf>
    <xf numFmtId="49" fontId="16" fillId="0" borderId="33" xfId="5" applyNumberFormat="1" applyFont="1" applyFill="1" applyBorder="1" applyAlignment="1">
      <alignment horizontal="center" vertical="center" wrapText="1"/>
    </xf>
    <xf numFmtId="49" fontId="16" fillId="0" borderId="36" xfId="5" applyNumberFormat="1" applyFont="1" applyFill="1" applyBorder="1" applyAlignment="1">
      <alignment horizontal="center" vertical="center" wrapText="1"/>
    </xf>
    <xf numFmtId="49" fontId="8" fillId="0" borderId="37" xfId="0" applyNumberFormat="1" applyFont="1" applyFill="1" applyBorder="1" applyAlignment="1">
      <alignment horizontal="left" vertical="top" wrapText="1"/>
    </xf>
    <xf numFmtId="49" fontId="8" fillId="0" borderId="23" xfId="0" applyNumberFormat="1" applyFont="1" applyFill="1" applyBorder="1" applyAlignment="1">
      <alignment horizontal="left" vertical="top" wrapText="1"/>
    </xf>
    <xf numFmtId="49" fontId="8" fillId="0" borderId="31" xfId="5" applyNumberFormat="1" applyFont="1" applyFill="1" applyBorder="1" applyAlignment="1">
      <alignment horizontal="center" vertical="center" wrapText="1"/>
    </xf>
    <xf numFmtId="49" fontId="15" fillId="0" borderId="32" xfId="5" applyNumberFormat="1" applyFont="1" applyFill="1" applyBorder="1" applyAlignment="1">
      <alignment horizontal="center" vertical="center" wrapText="1"/>
    </xf>
    <xf numFmtId="49" fontId="15" fillId="0" borderId="33" xfId="5" applyNumberFormat="1" applyFont="1" applyFill="1" applyBorder="1" applyAlignment="1">
      <alignment horizontal="center" vertical="center" wrapText="1"/>
    </xf>
    <xf numFmtId="49" fontId="8" fillId="0" borderId="22" xfId="0" applyNumberFormat="1" applyFont="1" applyFill="1" applyBorder="1" applyAlignment="1">
      <alignment horizontal="left" vertical="top" wrapText="1"/>
    </xf>
    <xf numFmtId="0" fontId="9" fillId="0" borderId="1" xfId="0" applyFont="1" applyBorder="1" applyAlignment="1">
      <alignment horizontal="left" vertical="top" wrapText="1"/>
    </xf>
    <xf numFmtId="49" fontId="3" fillId="0" borderId="27" xfId="0" applyNumberFormat="1" applyFont="1" applyFill="1" applyBorder="1" applyAlignment="1">
      <alignment horizontal="left" vertical="top" wrapText="1"/>
    </xf>
    <xf numFmtId="49" fontId="8" fillId="0" borderId="1" xfId="0" applyNumberFormat="1" applyFont="1" applyFill="1" applyBorder="1" applyAlignment="1">
      <alignment horizontal="left" vertical="top" wrapText="1"/>
    </xf>
    <xf numFmtId="49" fontId="8" fillId="0" borderId="31" xfId="0" applyNumberFormat="1" applyFont="1" applyFill="1" applyBorder="1" applyAlignment="1">
      <alignment horizontal="center" vertical="top" wrapText="1"/>
    </xf>
    <xf numFmtId="49" fontId="3" fillId="0" borderId="22" xfId="0" applyNumberFormat="1" applyFont="1" applyFill="1" applyBorder="1" applyAlignment="1">
      <alignment horizontal="left" vertical="top" wrapText="1"/>
    </xf>
    <xf numFmtId="49" fontId="8" fillId="0" borderId="20" xfId="5" applyNumberFormat="1" applyFont="1" applyFill="1" applyBorder="1" applyAlignment="1">
      <alignment horizontal="center" vertical="center"/>
    </xf>
    <xf numFmtId="49" fontId="8" fillId="0" borderId="34" xfId="5" applyNumberFormat="1" applyFont="1" applyFill="1" applyBorder="1" applyAlignment="1">
      <alignment horizontal="center" vertical="center"/>
    </xf>
    <xf numFmtId="49" fontId="8" fillId="0" borderId="35" xfId="5" applyNumberFormat="1" applyFont="1" applyFill="1" applyBorder="1" applyAlignment="1">
      <alignment horizontal="center" vertical="center"/>
    </xf>
    <xf numFmtId="49" fontId="8" fillId="0" borderId="38" xfId="5" applyNumberFormat="1" applyFont="1" applyFill="1" applyBorder="1" applyAlignment="1">
      <alignment horizontal="center" vertical="center"/>
    </xf>
    <xf numFmtId="49" fontId="8" fillId="0" borderId="39" xfId="5" applyNumberFormat="1" applyFont="1" applyFill="1" applyBorder="1" applyAlignment="1">
      <alignment horizontal="center" vertical="center"/>
    </xf>
    <xf numFmtId="49" fontId="8" fillId="0" borderId="40" xfId="5" applyNumberFormat="1" applyFont="1" applyFill="1" applyBorder="1" applyAlignment="1">
      <alignment horizontal="center" vertical="center"/>
    </xf>
    <xf numFmtId="49" fontId="8" fillId="0" borderId="38" xfId="5" applyNumberFormat="1" applyFont="1" applyFill="1" applyBorder="1" applyAlignment="1">
      <alignment horizontal="center" vertical="center" wrapText="1"/>
    </xf>
    <xf numFmtId="49" fontId="8" fillId="0" borderId="39" xfId="5" applyNumberFormat="1" applyFont="1" applyFill="1" applyBorder="1" applyAlignment="1">
      <alignment horizontal="center" vertical="center" wrapText="1"/>
    </xf>
    <xf numFmtId="49" fontId="8" fillId="0" borderId="40" xfId="5" applyNumberFormat="1" applyFont="1" applyFill="1" applyBorder="1" applyAlignment="1">
      <alignment horizontal="center" vertical="center" wrapText="1"/>
    </xf>
    <xf numFmtId="49" fontId="8" fillId="2" borderId="20" xfId="5" applyNumberFormat="1" applyFont="1" applyFill="1" applyBorder="1" applyAlignment="1">
      <alignment horizontal="center" vertical="center"/>
    </xf>
    <xf numFmtId="49" fontId="8" fillId="2" borderId="34" xfId="5" applyNumberFormat="1" applyFont="1" applyFill="1" applyBorder="1" applyAlignment="1">
      <alignment horizontal="center" vertical="center"/>
    </xf>
    <xf numFmtId="49" fontId="8" fillId="2" borderId="35" xfId="5" applyNumberFormat="1" applyFont="1" applyFill="1" applyBorder="1" applyAlignment="1">
      <alignment horizontal="center" vertical="center"/>
    </xf>
    <xf numFmtId="49" fontId="8" fillId="2" borderId="8" xfId="5" applyNumberFormat="1" applyFont="1" applyFill="1" applyBorder="1" applyAlignment="1">
      <alignment horizontal="center" vertical="center"/>
    </xf>
    <xf numFmtId="165" fontId="8" fillId="0" borderId="8" xfId="5" applyNumberFormat="1" applyFont="1" applyFill="1" applyBorder="1" applyAlignment="1">
      <alignment horizontal="center" vertical="center"/>
    </xf>
    <xf numFmtId="165" fontId="8" fillId="0" borderId="9" xfId="5" applyNumberFormat="1" applyFont="1" applyFill="1" applyBorder="1" applyAlignment="1">
      <alignment horizontal="center" vertical="center"/>
    </xf>
    <xf numFmtId="49" fontId="8" fillId="2" borderId="38" xfId="5" applyNumberFormat="1" applyFont="1" applyFill="1" applyBorder="1" applyAlignment="1">
      <alignment horizontal="center" vertical="center"/>
    </xf>
    <xf numFmtId="49" fontId="8" fillId="2" borderId="39" xfId="5" applyNumberFormat="1" applyFont="1" applyFill="1" applyBorder="1" applyAlignment="1">
      <alignment horizontal="center" vertical="center"/>
    </xf>
    <xf numFmtId="49" fontId="8" fillId="0" borderId="41" xfId="5" applyNumberFormat="1" applyFont="1" applyFill="1" applyBorder="1" applyAlignment="1">
      <alignment horizontal="center" vertical="center"/>
    </xf>
    <xf numFmtId="49" fontId="17" fillId="0" borderId="42" xfId="5" applyNumberFormat="1" applyFont="1" applyFill="1" applyBorder="1" applyAlignment="1">
      <alignment horizontal="center" vertical="center" wrapText="1"/>
    </xf>
    <xf numFmtId="49" fontId="17" fillId="0" borderId="43" xfId="5" applyNumberFormat="1" applyFont="1" applyFill="1" applyBorder="1" applyAlignment="1">
      <alignment horizontal="center" vertical="center" wrapText="1"/>
    </xf>
    <xf numFmtId="49" fontId="8" fillId="0" borderId="11" xfId="5" applyNumberFormat="1" applyFont="1" applyFill="1" applyBorder="1" applyAlignment="1">
      <alignment horizontal="center" vertical="center" wrapText="1"/>
    </xf>
    <xf numFmtId="0" fontId="8" fillId="0" borderId="22" xfId="5" applyNumberFormat="1" applyFont="1" applyFill="1" applyBorder="1" applyAlignment="1">
      <alignment horizontal="right" vertical="center" wrapText="1"/>
    </xf>
    <xf numFmtId="0" fontId="8" fillId="0" borderId="44" xfId="5" applyNumberFormat="1" applyFont="1" applyFill="1" applyBorder="1" applyAlignment="1">
      <alignment horizontal="right" vertical="center" wrapText="1"/>
    </xf>
    <xf numFmtId="49" fontId="8" fillId="0" borderId="41" xfId="5" applyNumberFormat="1" applyFont="1" applyFill="1" applyBorder="1" applyAlignment="1">
      <alignment horizontal="center" vertical="center" wrapText="1"/>
    </xf>
    <xf numFmtId="49" fontId="8" fillId="0" borderId="15" xfId="0" applyNumberFormat="1" applyFont="1" applyFill="1" applyBorder="1" applyAlignment="1">
      <alignment horizontal="left" vertical="top" wrapText="1"/>
    </xf>
    <xf numFmtId="49" fontId="8" fillId="0" borderId="31" xfId="0" applyNumberFormat="1" applyFont="1" applyFill="1" applyBorder="1" applyAlignment="1">
      <alignment horizontal="left" vertical="top" wrapText="1"/>
    </xf>
    <xf numFmtId="49" fontId="8" fillId="0" borderId="46" xfId="0" applyNumberFormat="1" applyFont="1" applyFill="1" applyBorder="1" applyAlignment="1">
      <alignment horizontal="left" vertical="top" wrapText="1"/>
    </xf>
    <xf numFmtId="49" fontId="8" fillId="0" borderId="44" xfId="0" applyNumberFormat="1" applyFont="1" applyFill="1" applyBorder="1" applyAlignment="1">
      <alignment horizontal="left" vertical="top" wrapText="1"/>
    </xf>
    <xf numFmtId="49" fontId="8" fillId="0" borderId="11" xfId="0" applyNumberFormat="1" applyFont="1" applyFill="1" applyBorder="1" applyAlignment="1">
      <alignment horizontal="left" vertical="top" wrapText="1"/>
    </xf>
    <xf numFmtId="49" fontId="8" fillId="0" borderId="12" xfId="0" applyNumberFormat="1" applyFont="1" applyFill="1" applyBorder="1" applyAlignment="1">
      <alignment horizontal="left" vertical="top" wrapText="1"/>
    </xf>
    <xf numFmtId="49" fontId="8" fillId="0" borderId="27" xfId="0" applyNumberFormat="1" applyFont="1" applyFill="1" applyBorder="1" applyAlignment="1">
      <alignment horizontal="center" vertical="top" wrapText="1"/>
    </xf>
    <xf numFmtId="49" fontId="8" fillId="0" borderId="13" xfId="0" applyNumberFormat="1" applyFont="1" applyFill="1" applyBorder="1" applyAlignment="1">
      <alignment horizontal="center" vertical="top" wrapText="1"/>
    </xf>
    <xf numFmtId="49" fontId="8" fillId="0" borderId="21" xfId="0" applyNumberFormat="1" applyFont="1" applyFill="1" applyBorder="1" applyAlignment="1">
      <alignment horizontal="center" vertical="top" wrapText="1"/>
    </xf>
    <xf numFmtId="49" fontId="8" fillId="0" borderId="44" xfId="4" applyNumberFormat="1" applyFont="1" applyFill="1" applyBorder="1" applyAlignment="1">
      <alignment horizontal="left" wrapText="1"/>
    </xf>
    <xf numFmtId="49" fontId="8" fillId="0" borderId="15" xfId="0" applyNumberFormat="1" applyFont="1" applyFill="1" applyBorder="1" applyAlignment="1">
      <alignment horizontal="center" vertical="top" wrapText="1"/>
    </xf>
    <xf numFmtId="49" fontId="8" fillId="0" borderId="46" xfId="0" applyNumberFormat="1" applyFont="1" applyFill="1" applyBorder="1" applyAlignment="1">
      <alignment horizontal="center" vertical="top" wrapText="1"/>
    </xf>
    <xf numFmtId="49" fontId="8" fillId="0" borderId="21" xfId="5" applyNumberFormat="1" applyFont="1" applyFill="1" applyBorder="1" applyAlignment="1">
      <alignment vertical="center" wrapText="1"/>
    </xf>
    <xf numFmtId="49" fontId="8" fillId="0" borderId="29" xfId="5" applyNumberFormat="1" applyFont="1" applyFill="1" applyBorder="1" applyAlignment="1">
      <alignment vertical="center" wrapText="1"/>
    </xf>
    <xf numFmtId="49" fontId="8" fillId="0" borderId="30" xfId="5" applyNumberFormat="1" applyFont="1" applyFill="1" applyBorder="1" applyAlignment="1">
      <alignment vertical="center" wrapText="1"/>
    </xf>
    <xf numFmtId="49" fontId="8" fillId="0" borderId="22" xfId="5" applyNumberFormat="1" applyFont="1" applyFill="1" applyBorder="1" applyAlignment="1">
      <alignment horizontal="center" vertical="center" wrapText="1"/>
    </xf>
    <xf numFmtId="49" fontId="8" fillId="0" borderId="1" xfId="5" applyNumberFormat="1" applyFont="1" applyFill="1" applyBorder="1" applyAlignment="1">
      <alignment horizontal="center" vertical="center" wrapText="1"/>
    </xf>
    <xf numFmtId="49" fontId="8" fillId="0" borderId="25" xfId="5" applyNumberFormat="1" applyFont="1" applyFill="1" applyBorder="1" applyAlignment="1">
      <alignment horizontal="center" vertical="center" wrapText="1"/>
    </xf>
    <xf numFmtId="0" fontId="9" fillId="0" borderId="41" xfId="0" applyFont="1" applyBorder="1"/>
    <xf numFmtId="49" fontId="8" fillId="0" borderId="20" xfId="0" applyNumberFormat="1" applyFont="1" applyFill="1" applyBorder="1" applyAlignment="1">
      <alignment horizontal="left" vertical="top" wrapText="1"/>
    </xf>
    <xf numFmtId="49" fontId="8" fillId="0" borderId="34" xfId="0" applyNumberFormat="1" applyFont="1" applyFill="1" applyBorder="1" applyAlignment="1">
      <alignment horizontal="left" vertical="top" wrapText="1"/>
    </xf>
    <xf numFmtId="49" fontId="8" fillId="0" borderId="47" xfId="0" applyNumberFormat="1" applyFont="1" applyFill="1" applyBorder="1" applyAlignment="1">
      <alignment horizontal="left" vertical="top" wrapText="1"/>
    </xf>
    <xf numFmtId="49" fontId="8" fillId="0" borderId="45" xfId="0" applyNumberFormat="1" applyFont="1" applyFill="1" applyBorder="1" applyAlignment="1">
      <alignment horizontal="left" vertical="top" wrapText="1"/>
    </xf>
    <xf numFmtId="0" fontId="9" fillId="0" borderId="44" xfId="0" applyFont="1" applyBorder="1" applyAlignment="1">
      <alignment horizontal="left" vertical="top" wrapText="1"/>
    </xf>
    <xf numFmtId="49" fontId="8" fillId="0" borderId="8" xfId="0" applyNumberFormat="1" applyFont="1" applyFill="1" applyBorder="1" applyAlignment="1">
      <alignment horizontal="left" vertical="top" wrapText="1"/>
    </xf>
    <xf numFmtId="49" fontId="8" fillId="0" borderId="9" xfId="0" applyNumberFormat="1" applyFont="1" applyFill="1" applyBorder="1" applyAlignment="1">
      <alignment horizontal="left" vertical="top" wrapText="1"/>
    </xf>
    <xf numFmtId="0" fontId="9" fillId="0" borderId="11" xfId="0" applyFont="1" applyBorder="1" applyAlignment="1">
      <alignment horizontal="left" vertical="top" wrapText="1"/>
    </xf>
    <xf numFmtId="0" fontId="9" fillId="0" borderId="12" xfId="0" applyFont="1" applyBorder="1" applyAlignment="1">
      <alignment horizontal="left" vertical="top" wrapText="1"/>
    </xf>
    <xf numFmtId="49" fontId="8" fillId="0" borderId="25" xfId="0" applyNumberFormat="1" applyFont="1" applyFill="1" applyBorder="1" applyAlignment="1">
      <alignment horizontal="left" vertical="top" wrapText="1"/>
    </xf>
    <xf numFmtId="0" fontId="9" fillId="0" borderId="11" xfId="0" applyFont="1" applyBorder="1"/>
    <xf numFmtId="0" fontId="9" fillId="0" borderId="12" xfId="0" applyFont="1" applyBorder="1"/>
    <xf numFmtId="49" fontId="8" fillId="0" borderId="11" xfId="0" applyNumberFormat="1" applyFont="1" applyFill="1" applyBorder="1" applyAlignment="1">
      <alignment horizontal="center" vertical="top" wrapText="1"/>
    </xf>
    <xf numFmtId="49" fontId="8" fillId="0" borderId="11" xfId="4" applyNumberFormat="1" applyFont="1" applyFill="1" applyBorder="1" applyAlignment="1">
      <alignment horizontal="left" wrapText="1"/>
    </xf>
    <xf numFmtId="49" fontId="8" fillId="0" borderId="12" xfId="4" applyNumberFormat="1" applyFont="1" applyFill="1" applyBorder="1" applyAlignment="1">
      <alignment horizontal="left" wrapText="1"/>
    </xf>
    <xf numFmtId="49" fontId="8" fillId="0" borderId="50" xfId="0" applyNumberFormat="1" applyFont="1" applyFill="1" applyBorder="1" applyAlignment="1">
      <alignment horizontal="center" vertical="top" wrapText="1"/>
    </xf>
  </cellXfs>
  <cellStyles count="6">
    <cellStyle name="Normal" xfId="0" builtinId="0"/>
    <cellStyle name="Normal_単価テスト_財産管理" xfId="1"/>
    <cellStyle name="Percent" xfId="2" builtinId="5"/>
    <cellStyle name="標準_format(USI)" xfId="3"/>
    <cellStyle name="標準_Sheet1_コピー ～ 一括失効" xfId="4"/>
    <cellStyle name="標準_コピー ～ 一括失効" xfId="5"/>
  </cellStyles>
  <dxfs count="9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9525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ADD New PCL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59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31"/>
  <sheetViews>
    <sheetView tabSelected="1"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A5" sqref="A5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14</v>
      </c>
      <c r="C2" s="2"/>
    </row>
    <row r="3" spans="1:38" s="4" customFormat="1" ht="13.5" hidden="1" customHeight="1">
      <c r="B3" s="98"/>
      <c r="C3" s="100"/>
      <c r="D3" s="125"/>
      <c r="E3" s="126"/>
      <c r="F3" s="126"/>
      <c r="G3" s="126"/>
      <c r="H3" s="126"/>
      <c r="I3" s="126"/>
      <c r="J3" s="127"/>
      <c r="K3" s="95">
        <f ca="1">IF($D3="",0,MAX(INDIRECT("'"&amp;$D3&amp;"'!$H3:$AZ3")))</f>
        <v>0</v>
      </c>
      <c r="L3" s="96"/>
      <c r="M3" s="96"/>
      <c r="N3" s="97"/>
      <c r="O3" s="98" t="str">
        <f ca="1">IF($D3="","",COUNTIF(INDIRECT("'"&amp;$D3&amp;"'!$H"&amp;ROW(INDIRECT("'"&amp;$D3&amp;"'!TestResult"))&amp;":$AZ"&amp;ROW(INDIRECT("'"&amp;$D3&amp;"'!TestResult"))),O$9))</f>
        <v/>
      </c>
      <c r="P3" s="99"/>
      <c r="Q3" s="100"/>
      <c r="R3" s="98" t="str">
        <f ca="1">IF($D3="","",COUNTIF(INDIRECT("'"&amp;$D3&amp;"'!$H"&amp;ROW(INDIRECT("'"&amp;$D3&amp;"'!TestResult"))&amp;":$AZ"&amp;ROW(INDIRECT("'"&amp;$D3&amp;"'!TestResult"))),R$9))</f>
        <v/>
      </c>
      <c r="S3" s="99"/>
      <c r="T3" s="100"/>
      <c r="U3" s="98" t="str">
        <f ca="1">IF($D3="","",COUNTIF(INDIRECT("'"&amp;$D3&amp;"'!$H"&amp;ROW(INDIRECT("'"&amp;$D3&amp;"'!TestResult"))&amp;":$AZ"&amp;ROW(INDIRECT("'"&amp;$D3&amp;"'!TestResult"))),U$9))</f>
        <v/>
      </c>
      <c r="V3" s="99"/>
      <c r="W3" s="100"/>
      <c r="X3" s="98" t="str">
        <f ca="1">IF($D3="","",COUNTIF(INDIRECT("'"&amp;$D3&amp;"'!$H"&amp;ROW(INDIRECT("'"&amp;$D3&amp;"'!TestResult"))&amp;":$AZ"&amp;ROW(INDIRECT("'"&amp;$D3&amp;"'!TestResult"))),X$9))</f>
        <v/>
      </c>
      <c r="Y3" s="99"/>
      <c r="Z3" s="100"/>
      <c r="AA3" s="95">
        <f ca="1">SUM(O3:Z3)</f>
        <v>0</v>
      </c>
      <c r="AB3" s="96"/>
      <c r="AC3" s="96"/>
      <c r="AD3" s="97"/>
      <c r="AE3" s="95">
        <f ca="1">K3-AA3</f>
        <v>0</v>
      </c>
      <c r="AF3" s="96"/>
      <c r="AG3" s="96"/>
      <c r="AH3" s="97"/>
      <c r="AI3" s="110" t="str">
        <f ca="1">IF($D3="","",SUM(INDIRECT("'"&amp;$D3&amp;"'!BugCount")))</f>
        <v/>
      </c>
      <c r="AJ3" s="111"/>
      <c r="AK3" s="111"/>
      <c r="AL3" s="112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13" t="s">
        <v>105</v>
      </c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5"/>
    </row>
    <row r="8" spans="1:38" ht="13.5" customHeight="1">
      <c r="B8" s="116"/>
      <c r="C8" s="117"/>
      <c r="D8" s="116"/>
      <c r="E8" s="118"/>
      <c r="F8" s="118"/>
      <c r="G8" s="118"/>
      <c r="H8" s="118"/>
      <c r="I8" s="118"/>
      <c r="J8" s="117"/>
      <c r="K8" s="80" t="s">
        <v>2</v>
      </c>
      <c r="L8" s="81"/>
      <c r="M8" s="81"/>
      <c r="N8" s="82"/>
      <c r="O8" s="89" t="s">
        <v>1</v>
      </c>
      <c r="P8" s="90"/>
      <c r="Q8" s="90"/>
      <c r="R8" s="90"/>
      <c r="S8" s="90"/>
      <c r="T8" s="90"/>
      <c r="U8" s="90"/>
      <c r="V8" s="90"/>
      <c r="W8" s="90"/>
      <c r="X8" s="90"/>
      <c r="Y8" s="90"/>
      <c r="Z8" s="91"/>
      <c r="AA8" s="80" t="s">
        <v>33</v>
      </c>
      <c r="AB8" s="81"/>
      <c r="AC8" s="81"/>
      <c r="AD8" s="82"/>
      <c r="AE8" s="80" t="s">
        <v>33</v>
      </c>
      <c r="AF8" s="81"/>
      <c r="AG8" s="81"/>
      <c r="AH8" s="82"/>
      <c r="AI8" s="128"/>
      <c r="AJ8" s="129"/>
      <c r="AK8" s="129"/>
      <c r="AL8" s="130"/>
    </row>
    <row r="9" spans="1:38" s="4" customFormat="1">
      <c r="B9" s="122" t="s">
        <v>15</v>
      </c>
      <c r="C9" s="123"/>
      <c r="D9" s="122" t="s">
        <v>16</v>
      </c>
      <c r="E9" s="124"/>
      <c r="F9" s="124"/>
      <c r="G9" s="124"/>
      <c r="H9" s="124"/>
      <c r="I9" s="124"/>
      <c r="J9" s="123"/>
      <c r="K9" s="83" t="s">
        <v>31</v>
      </c>
      <c r="L9" s="84"/>
      <c r="M9" s="84"/>
      <c r="N9" s="85"/>
      <c r="O9" s="92" t="s">
        <v>17</v>
      </c>
      <c r="P9" s="93"/>
      <c r="Q9" s="94"/>
      <c r="R9" s="92" t="s">
        <v>18</v>
      </c>
      <c r="S9" s="93"/>
      <c r="T9" s="94"/>
      <c r="U9" s="92" t="s">
        <v>19</v>
      </c>
      <c r="V9" s="93"/>
      <c r="W9" s="94"/>
      <c r="X9" s="92" t="s">
        <v>20</v>
      </c>
      <c r="Y9" s="93"/>
      <c r="Z9" s="94"/>
      <c r="AA9" s="83" t="s">
        <v>32</v>
      </c>
      <c r="AB9" s="84"/>
      <c r="AC9" s="84"/>
      <c r="AD9" s="85"/>
      <c r="AE9" s="83" t="s">
        <v>34</v>
      </c>
      <c r="AF9" s="84"/>
      <c r="AG9" s="84"/>
      <c r="AH9" s="85"/>
      <c r="AI9" s="119" t="s">
        <v>35</v>
      </c>
      <c r="AJ9" s="120"/>
      <c r="AK9" s="120"/>
      <c r="AL9" s="121"/>
    </row>
    <row r="10" spans="1:38" s="4" customFormat="1">
      <c r="B10" s="98">
        <v>1</v>
      </c>
      <c r="C10" s="100"/>
      <c r="D10" s="125" t="s">
        <v>50</v>
      </c>
      <c r="E10" s="126"/>
      <c r="F10" s="126"/>
      <c r="G10" s="126"/>
      <c r="H10" s="126"/>
      <c r="I10" s="126"/>
      <c r="J10" s="127"/>
      <c r="K10" s="95">
        <f ca="1">IF($D10="",0,MAX(INDIRECT("'"&amp;$D10&amp;"'!$H3:$AZ3")))</f>
        <v>7</v>
      </c>
      <c r="L10" s="96"/>
      <c r="M10" s="96"/>
      <c r="N10" s="97"/>
      <c r="O10" s="98">
        <f ca="1">IF($D10="","",COUNTIF(INDIRECT("'"&amp;$D10&amp;"'!$H"&amp;ROW(INDIRECT("'"&amp;$D10&amp;"'!TestResult"))&amp;":$AZ"&amp;ROW(INDIRECT("'"&amp;$D10&amp;"'!TestResult"))),O$9))</f>
        <v>7</v>
      </c>
      <c r="P10" s="99"/>
      <c r="Q10" s="100"/>
      <c r="R10" s="98">
        <f ca="1">IF($D10="","",COUNTIF(INDIRECT("'"&amp;$D10&amp;"'!$H"&amp;ROW(INDIRECT("'"&amp;$D10&amp;"'!TestResult"))&amp;":$AZ"&amp;ROW(INDIRECT("'"&amp;$D10&amp;"'!TestResult"))),R$9))</f>
        <v>0</v>
      </c>
      <c r="S10" s="99"/>
      <c r="T10" s="100"/>
      <c r="U10" s="98">
        <f ca="1">IF($D10="","",COUNTIF(INDIRECT("'"&amp;$D10&amp;"'!$H"&amp;ROW(INDIRECT("'"&amp;$D10&amp;"'!TestResult"))&amp;":$AZ"&amp;ROW(INDIRECT("'"&amp;$D10&amp;"'!TestResult"))),U$9))</f>
        <v>0</v>
      </c>
      <c r="V10" s="99"/>
      <c r="W10" s="100"/>
      <c r="X10" s="98">
        <f ca="1">IF($D10="","",COUNTIF(INDIRECT("'"&amp;$D10&amp;"'!$H"&amp;ROW(INDIRECT("'"&amp;$D10&amp;"'!TestResult"))&amp;":$AZ"&amp;ROW(INDIRECT("'"&amp;$D10&amp;"'!TestResult"))),X$9))</f>
        <v>0</v>
      </c>
      <c r="Y10" s="99"/>
      <c r="Z10" s="100"/>
      <c r="AA10" s="95">
        <f ca="1">SUM(O10:Z10)</f>
        <v>7</v>
      </c>
      <c r="AB10" s="96"/>
      <c r="AC10" s="96"/>
      <c r="AD10" s="97"/>
      <c r="AE10" s="95">
        <f ca="1">K10-AA10</f>
        <v>0</v>
      </c>
      <c r="AF10" s="96"/>
      <c r="AG10" s="96"/>
      <c r="AH10" s="97"/>
      <c r="AI10" s="110">
        <f ca="1">IF($D10="","",SUM(INDIRECT("'"&amp;$D10&amp;"'!BugCount")))</f>
        <v>0</v>
      </c>
      <c r="AJ10" s="111"/>
      <c r="AK10" s="111"/>
      <c r="AL10" s="112"/>
    </row>
    <row r="11" spans="1:38" s="4" customFormat="1">
      <c r="B11" s="98">
        <v>2</v>
      </c>
      <c r="C11" s="100"/>
      <c r="D11" s="125" t="s">
        <v>49</v>
      </c>
      <c r="E11" s="126"/>
      <c r="F11" s="126"/>
      <c r="G11" s="126"/>
      <c r="H11" s="126"/>
      <c r="I11" s="126"/>
      <c r="J11" s="127"/>
      <c r="K11" s="95">
        <f ca="1">IF($D11="",0,MAX(INDIRECT("'"&amp;$D11&amp;"'!$H3:$AZ3")))</f>
        <v>3</v>
      </c>
      <c r="L11" s="96"/>
      <c r="M11" s="96"/>
      <c r="N11" s="97"/>
      <c r="O11" s="98">
        <f ca="1">IF($D11="","",COUNTIF(INDIRECT("'"&amp;$D11&amp;"'!$H"&amp;ROW(INDIRECT("'"&amp;$D11&amp;"'!TestResult"))&amp;":$AZ"&amp;ROW(INDIRECT("'"&amp;$D11&amp;"'!TestResult"))),O$9))</f>
        <v>3</v>
      </c>
      <c r="P11" s="99"/>
      <c r="Q11" s="100"/>
      <c r="R11" s="98">
        <f ca="1">IF($D11="","",COUNTIF(INDIRECT("'"&amp;$D11&amp;"'!$H"&amp;ROW(INDIRECT("'"&amp;$D11&amp;"'!TestResult"))&amp;":$AZ"&amp;ROW(INDIRECT("'"&amp;$D11&amp;"'!TestResult"))),R$9))</f>
        <v>0</v>
      </c>
      <c r="S11" s="99"/>
      <c r="T11" s="100"/>
      <c r="U11" s="98">
        <f ca="1">IF($D11="","",COUNTIF(INDIRECT("'"&amp;$D11&amp;"'!$H"&amp;ROW(INDIRECT("'"&amp;$D11&amp;"'!TestResult"))&amp;":$AZ"&amp;ROW(INDIRECT("'"&amp;$D11&amp;"'!TestResult"))),U$9))</f>
        <v>0</v>
      </c>
      <c r="V11" s="99"/>
      <c r="W11" s="100"/>
      <c r="X11" s="98">
        <f ca="1">IF($D11="","",COUNTIF(INDIRECT("'"&amp;$D11&amp;"'!$H"&amp;ROW(INDIRECT("'"&amp;$D11&amp;"'!TestResult"))&amp;":$AZ"&amp;ROW(INDIRECT("'"&amp;$D11&amp;"'!TestResult"))),X$9))</f>
        <v>0</v>
      </c>
      <c r="Y11" s="99"/>
      <c r="Z11" s="100"/>
      <c r="AA11" s="95">
        <f ca="1">SUM(O11:Z11)</f>
        <v>3</v>
      </c>
      <c r="AB11" s="96"/>
      <c r="AC11" s="96"/>
      <c r="AD11" s="97"/>
      <c r="AE11" s="95">
        <f ca="1">K11-AA11</f>
        <v>0</v>
      </c>
      <c r="AF11" s="96"/>
      <c r="AG11" s="96"/>
      <c r="AH11" s="97"/>
      <c r="AI11" s="110">
        <f ca="1">IF($D11="","",SUM(INDIRECT("'"&amp;$D11&amp;"'!BugCount")))</f>
        <v>0</v>
      </c>
      <c r="AJ11" s="111"/>
      <c r="AK11" s="111"/>
      <c r="AL11" s="112"/>
    </row>
    <row r="12" spans="1:38" s="8" customFormat="1" ht="20.25">
      <c r="B12" s="5"/>
      <c r="C12" s="5"/>
      <c r="D12" s="6"/>
      <c r="E12" s="52"/>
      <c r="F12" s="52"/>
      <c r="G12" s="52"/>
      <c r="H12" s="52"/>
      <c r="I12" s="52"/>
      <c r="J12" s="52"/>
      <c r="K12" s="7"/>
      <c r="L12" s="7"/>
      <c r="M12" s="7"/>
      <c r="N12" s="7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7"/>
      <c r="AG12" s="7"/>
      <c r="AH12" s="7"/>
      <c r="AI12" s="7"/>
      <c r="AJ12" s="7"/>
      <c r="AK12" s="7"/>
      <c r="AL12" s="7"/>
    </row>
    <row r="13" spans="1:38" s="4" customFormat="1">
      <c r="A13" s="4" t="s">
        <v>41</v>
      </c>
      <c r="B13" s="132" t="s">
        <v>2</v>
      </c>
      <c r="C13" s="133"/>
      <c r="D13" s="133"/>
      <c r="E13" s="133"/>
      <c r="F13" s="133"/>
      <c r="G13" s="133"/>
      <c r="H13" s="133"/>
      <c r="I13" s="133"/>
      <c r="J13" s="134"/>
      <c r="K13" s="101">
        <f ca="1">SUBTOTAL(9,K9:K12)</f>
        <v>10</v>
      </c>
      <c r="L13" s="102"/>
      <c r="M13" s="102"/>
      <c r="N13" s="103"/>
      <c r="O13" s="107">
        <f ca="1">SUBTOTAL(9,O9:O12)</f>
        <v>10</v>
      </c>
      <c r="P13" s="108"/>
      <c r="Q13" s="109"/>
      <c r="R13" s="107">
        <f ca="1">SUBTOTAL(9,R9:R12)</f>
        <v>0</v>
      </c>
      <c r="S13" s="108"/>
      <c r="T13" s="109"/>
      <c r="U13" s="107">
        <f ca="1">SUBTOTAL(9,U9:U12)</f>
        <v>0</v>
      </c>
      <c r="V13" s="108"/>
      <c r="W13" s="109"/>
      <c r="X13" s="107">
        <f ca="1">SUBTOTAL(9,X9:X12)</f>
        <v>0</v>
      </c>
      <c r="Y13" s="108"/>
      <c r="Z13" s="109"/>
      <c r="AA13" s="107">
        <f ca="1">SUBTOTAL(9,AA9:AA12)</f>
        <v>10</v>
      </c>
      <c r="AB13" s="108"/>
      <c r="AC13" s="108"/>
      <c r="AD13" s="109"/>
      <c r="AE13" s="107">
        <f ca="1">SUBTOTAL(9,AE9:AE12)</f>
        <v>0</v>
      </c>
      <c r="AF13" s="108"/>
      <c r="AG13" s="108"/>
      <c r="AH13" s="109"/>
      <c r="AI13" s="101">
        <f ca="1">SUBTOTAL(9,AI9:AI12)</f>
        <v>0</v>
      </c>
      <c r="AJ13" s="102"/>
      <c r="AK13" s="102"/>
      <c r="AL13" s="103"/>
    </row>
    <row r="14" spans="1:38" s="4" customFormat="1" ht="12.75" customHeight="1">
      <c r="B14" s="132" t="s">
        <v>3</v>
      </c>
      <c r="C14" s="133"/>
      <c r="D14" s="133"/>
      <c r="E14" s="133"/>
      <c r="F14" s="133"/>
      <c r="G14" s="133"/>
      <c r="H14" s="133"/>
      <c r="I14" s="133"/>
      <c r="J14" s="134"/>
      <c r="K14" s="104"/>
      <c r="L14" s="105"/>
      <c r="M14" s="105"/>
      <c r="N14" s="106"/>
      <c r="O14" s="86">
        <f ca="1">IF(ISERR(O13/$K$13),0,O13/$K$13)</f>
        <v>1</v>
      </c>
      <c r="P14" s="87"/>
      <c r="Q14" s="88"/>
      <c r="R14" s="86">
        <f ca="1">IF(ISERR(R13/$K$13),0,R13/$K$13)</f>
        <v>0</v>
      </c>
      <c r="S14" s="87"/>
      <c r="T14" s="88"/>
      <c r="U14" s="86">
        <f ca="1">IF(ISERR(U13/$K$13),0,U13/$K$13)</f>
        <v>0</v>
      </c>
      <c r="V14" s="87"/>
      <c r="W14" s="88"/>
      <c r="X14" s="86">
        <f ca="1">IF(ISERR(X13/$K$13),0,X13/$K$13)</f>
        <v>0</v>
      </c>
      <c r="Y14" s="87"/>
      <c r="Z14" s="88"/>
      <c r="AA14" s="86">
        <f ca="1">IF(ISERR(AA13/$K$13),0,AA13/$K$13)</f>
        <v>1</v>
      </c>
      <c r="AB14" s="87"/>
      <c r="AC14" s="87"/>
      <c r="AD14" s="88"/>
      <c r="AE14" s="86">
        <f ca="1">IF(ISERR(AE13/$K$13),0,AE13/$K$13)</f>
        <v>0</v>
      </c>
      <c r="AF14" s="87"/>
      <c r="AG14" s="87"/>
      <c r="AH14" s="88"/>
      <c r="AI14" s="104"/>
      <c r="AJ14" s="105"/>
      <c r="AK14" s="105"/>
      <c r="AL14" s="106"/>
    </row>
    <row r="30" spans="2:15" ht="15" customHeight="1">
      <c r="B30" s="131" t="s">
        <v>48</v>
      </c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</row>
    <row r="31" spans="2:15">
      <c r="B31" s="131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65">
    <mergeCell ref="B11:C11"/>
    <mergeCell ref="D11:J11"/>
    <mergeCell ref="K13:N14"/>
    <mergeCell ref="O13:Q13"/>
    <mergeCell ref="O14:Q14"/>
    <mergeCell ref="B30:O31"/>
    <mergeCell ref="U14:W14"/>
    <mergeCell ref="R13:T13"/>
    <mergeCell ref="U13:W13"/>
    <mergeCell ref="B13:J13"/>
    <mergeCell ref="B14:J14"/>
    <mergeCell ref="R14:T14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B8:C8"/>
    <mergeCell ref="D8:J8"/>
    <mergeCell ref="AI9:AL9"/>
    <mergeCell ref="K10:N10"/>
    <mergeCell ref="R10:T10"/>
    <mergeCell ref="U10:W10"/>
    <mergeCell ref="B10:C10"/>
    <mergeCell ref="B9:C9"/>
    <mergeCell ref="D9:J9"/>
    <mergeCell ref="D10:J10"/>
    <mergeCell ref="O10:Q10"/>
    <mergeCell ref="AI8:AL8"/>
    <mergeCell ref="AI13:AL14"/>
    <mergeCell ref="AE10:AH10"/>
    <mergeCell ref="AE13:AH13"/>
    <mergeCell ref="AE14:AH14"/>
    <mergeCell ref="X11:Z11"/>
    <mergeCell ref="AA11:AD11"/>
    <mergeCell ref="AE11:AH11"/>
    <mergeCell ref="X14:Z14"/>
    <mergeCell ref="X10:Z10"/>
    <mergeCell ref="X13:Z13"/>
    <mergeCell ref="AA10:AD10"/>
    <mergeCell ref="AA13:AD13"/>
    <mergeCell ref="AI11:AL11"/>
    <mergeCell ref="AE8:AH8"/>
    <mergeCell ref="AE9:AH9"/>
    <mergeCell ref="AA14:AD14"/>
    <mergeCell ref="K8:N8"/>
    <mergeCell ref="AA9:AD9"/>
    <mergeCell ref="AA8:AD8"/>
    <mergeCell ref="O8:Z8"/>
    <mergeCell ref="X9:Z9"/>
    <mergeCell ref="R9:T9"/>
    <mergeCell ref="U9:W9"/>
    <mergeCell ref="K11:N11"/>
    <mergeCell ref="O11:Q11"/>
    <mergeCell ref="R11:T11"/>
    <mergeCell ref="U11:W11"/>
  </mergeCells>
  <phoneticPr fontId="2"/>
  <conditionalFormatting sqref="K12:AL12 K4:AL4 AI3:AL3 K3:AE3 AI10:AL11 K10:AE11">
    <cfRule type="cellIs" dxfId="8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3" r:id="rId4" name="Button 23">
              <controlPr defaultSize="0" print="0" autoFill="0" autoPict="0" macro="[0]!AddNewPCL">
                <anchor moveWithCells="1" sizeWithCells="1">
                  <from>
                    <xdr:col>1</xdr:col>
                    <xdr:colOff>9525</xdr:colOff>
                    <xdr:row>11</xdr:row>
                    <xdr:rowOff>9525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1" t="s">
        <v>8</v>
      </c>
      <c r="C1" s="162"/>
      <c r="D1" s="162"/>
      <c r="E1" s="163"/>
      <c r="F1" s="161" t="s">
        <v>6</v>
      </c>
      <c r="G1" s="162"/>
      <c r="H1" s="162"/>
      <c r="I1" s="162"/>
      <c r="J1" s="162"/>
      <c r="K1" s="162"/>
      <c r="L1" s="162"/>
      <c r="M1" s="162"/>
      <c r="N1" s="162"/>
      <c r="O1" s="163"/>
      <c r="P1" s="170" t="s">
        <v>0</v>
      </c>
      <c r="Q1" s="171"/>
      <c r="R1" s="171"/>
      <c r="S1" s="172"/>
      <c r="T1" s="161" t="s">
        <v>9</v>
      </c>
      <c r="U1" s="162"/>
      <c r="V1" s="162"/>
      <c r="W1" s="162"/>
      <c r="X1" s="162"/>
      <c r="Y1" s="162"/>
      <c r="Z1" s="163"/>
      <c r="AA1" s="173" t="s">
        <v>10</v>
      </c>
      <c r="AB1" s="173"/>
      <c r="AC1" s="174"/>
      <c r="AD1" s="174"/>
      <c r="AE1" s="174"/>
      <c r="AF1" s="175"/>
    </row>
    <row r="2" spans="1:32" ht="20.100000000000001" customHeight="1" thickBot="1">
      <c r="A2" s="64" t="s">
        <v>4</v>
      </c>
      <c r="B2" s="164" t="s">
        <v>8</v>
      </c>
      <c r="C2" s="165"/>
      <c r="D2" s="165"/>
      <c r="E2" s="166"/>
      <c r="F2" s="164" t="s">
        <v>7</v>
      </c>
      <c r="G2" s="165"/>
      <c r="H2" s="166"/>
      <c r="I2" s="167" t="s">
        <v>11</v>
      </c>
      <c r="J2" s="168"/>
      <c r="K2" s="168"/>
      <c r="L2" s="168"/>
      <c r="M2" s="168"/>
      <c r="N2" s="168"/>
      <c r="O2" s="169"/>
      <c r="P2" s="164"/>
      <c r="Q2" s="165"/>
      <c r="R2" s="165"/>
      <c r="S2" s="165"/>
      <c r="T2" s="165"/>
      <c r="U2" s="165"/>
      <c r="V2" s="165"/>
      <c r="W2" s="165"/>
      <c r="X2" s="165"/>
      <c r="Y2" s="165"/>
      <c r="Z2" s="166"/>
      <c r="AA2" s="176" t="s">
        <v>12</v>
      </c>
      <c r="AB2" s="177"/>
      <c r="AC2" s="164" t="s">
        <v>13</v>
      </c>
      <c r="AD2" s="165"/>
      <c r="AE2" s="165"/>
      <c r="AF2" s="178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53" t="s">
        <v>44</v>
      </c>
      <c r="B4" s="151" t="s">
        <v>21</v>
      </c>
      <c r="C4" s="151"/>
      <c r="D4" s="151"/>
      <c r="E4" s="151"/>
      <c r="F4" s="151"/>
      <c r="G4" s="151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4"/>
      <c r="B5" s="155" t="s">
        <v>22</v>
      </c>
      <c r="C5" s="156"/>
      <c r="D5" s="156"/>
      <c r="E5" s="156"/>
      <c r="F5" s="156"/>
      <c r="G5" s="156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4"/>
      <c r="B6" s="21"/>
      <c r="C6" s="157" t="s">
        <v>23</v>
      </c>
      <c r="D6" s="158"/>
      <c r="E6" s="158"/>
      <c r="F6" s="158"/>
      <c r="G6" s="158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4"/>
      <c r="B7" s="21"/>
      <c r="C7" s="159"/>
      <c r="D7" s="155"/>
      <c r="E7" s="158"/>
      <c r="F7" s="158"/>
      <c r="G7" s="158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4"/>
      <c r="B8" s="21"/>
      <c r="C8" s="159"/>
      <c r="D8" s="155"/>
      <c r="E8" s="158"/>
      <c r="F8" s="158"/>
      <c r="G8" s="158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4"/>
      <c r="B9" s="21"/>
      <c r="C9" s="160" t="s">
        <v>24</v>
      </c>
      <c r="D9" s="158"/>
      <c r="E9" s="158"/>
      <c r="F9" s="158"/>
      <c r="G9" s="158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54"/>
      <c r="B10" s="21"/>
      <c r="C10" s="159"/>
      <c r="D10" s="155"/>
      <c r="E10" s="158"/>
      <c r="F10" s="158"/>
      <c r="G10" s="158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54"/>
      <c r="B11" s="21"/>
      <c r="C11" s="159"/>
      <c r="D11" s="155"/>
      <c r="E11" s="158"/>
      <c r="F11" s="158"/>
      <c r="G11" s="158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54"/>
      <c r="B12" s="21"/>
      <c r="C12" s="155"/>
      <c r="D12" s="158"/>
      <c r="E12" s="158"/>
      <c r="F12" s="158"/>
      <c r="G12" s="158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54"/>
      <c r="B13" s="21"/>
      <c r="C13" s="159"/>
      <c r="D13" s="155"/>
      <c r="E13" s="158"/>
      <c r="F13" s="158"/>
      <c r="G13" s="158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54"/>
      <c r="B14" s="21"/>
      <c r="C14" s="159"/>
      <c r="D14" s="155"/>
      <c r="E14" s="158"/>
      <c r="F14" s="158"/>
      <c r="G14" s="158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47" t="s">
        <v>45</v>
      </c>
      <c r="B15" s="150" t="s">
        <v>25</v>
      </c>
      <c r="C15" s="151"/>
      <c r="D15" s="151"/>
      <c r="E15" s="151"/>
      <c r="F15" s="151"/>
      <c r="G15" s="151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48"/>
      <c r="B16" s="28"/>
      <c r="C16" s="137" t="s">
        <v>26</v>
      </c>
      <c r="D16" s="138"/>
      <c r="E16" s="138"/>
      <c r="F16" s="138"/>
      <c r="G16" s="138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48"/>
      <c r="B17" s="152"/>
      <c r="C17" s="137" t="s">
        <v>27</v>
      </c>
      <c r="D17" s="138"/>
      <c r="E17" s="138"/>
      <c r="F17" s="138"/>
      <c r="G17" s="138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48"/>
      <c r="B18" s="152"/>
      <c r="C18" s="137" t="s">
        <v>28</v>
      </c>
      <c r="D18" s="138"/>
      <c r="E18" s="138"/>
      <c r="F18" s="138"/>
      <c r="G18" s="138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48"/>
      <c r="B19" s="152"/>
      <c r="C19" s="137" t="s">
        <v>29</v>
      </c>
      <c r="D19" s="138"/>
      <c r="E19" s="138"/>
      <c r="F19" s="138"/>
      <c r="G19" s="138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48"/>
      <c r="B20" s="152"/>
      <c r="C20" s="137"/>
      <c r="D20" s="138"/>
      <c r="E20" s="138"/>
      <c r="F20" s="138"/>
      <c r="G20" s="138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48"/>
      <c r="B21" s="152"/>
      <c r="C21" s="137"/>
      <c r="D21" s="138"/>
      <c r="E21" s="138"/>
      <c r="F21" s="138"/>
      <c r="G21" s="138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48"/>
      <c r="B22" s="152"/>
      <c r="C22" s="137"/>
      <c r="D22" s="138"/>
      <c r="E22" s="138"/>
      <c r="F22" s="138"/>
      <c r="G22" s="138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49"/>
      <c r="B23" s="152"/>
      <c r="C23" s="135"/>
      <c r="D23" s="136"/>
      <c r="E23" s="136"/>
      <c r="F23" s="136"/>
      <c r="G23" s="136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39" t="s">
        <v>46</v>
      </c>
      <c r="B24" s="141"/>
      <c r="C24" s="142"/>
      <c r="D24" s="142"/>
      <c r="E24" s="142"/>
      <c r="F24" s="143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40"/>
      <c r="B25" s="144"/>
      <c r="C25" s="145"/>
      <c r="D25" s="145"/>
      <c r="E25" s="145"/>
      <c r="F25" s="146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40"/>
      <c r="B26" s="144"/>
      <c r="C26" s="145"/>
      <c r="D26" s="145"/>
      <c r="E26" s="145"/>
      <c r="F26" s="146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40"/>
      <c r="B27" s="144"/>
      <c r="C27" s="145"/>
      <c r="D27" s="145"/>
      <c r="E27" s="145"/>
      <c r="F27" s="146"/>
      <c r="G27" s="46" t="s">
        <v>39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79" t="s">
        <v>47</v>
      </c>
      <c r="B28" s="181" t="s">
        <v>40</v>
      </c>
      <c r="C28" s="181"/>
      <c r="D28" s="181"/>
      <c r="E28" s="181"/>
      <c r="F28" s="182" t="str">
        <f>GetBugSheetName()</f>
        <v>Summary_</v>
      </c>
      <c r="G28" s="183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80"/>
      <c r="B29" s="167" t="s">
        <v>30</v>
      </c>
      <c r="C29" s="168"/>
      <c r="D29" s="168"/>
      <c r="E29" s="169"/>
      <c r="F29" s="167"/>
      <c r="G29" s="184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AA1:AB1"/>
    <mergeCell ref="AC1:AF1"/>
    <mergeCell ref="F2:H2"/>
    <mergeCell ref="AA2:AB2"/>
    <mergeCell ref="AC2:AF2"/>
    <mergeCell ref="B1:E1"/>
    <mergeCell ref="F1:O1"/>
    <mergeCell ref="B2:E2"/>
    <mergeCell ref="I2:O2"/>
    <mergeCell ref="P2:Z2"/>
    <mergeCell ref="P1:S1"/>
    <mergeCell ref="T1:Z1"/>
    <mergeCell ref="A4:A14"/>
    <mergeCell ref="B4:G4"/>
    <mergeCell ref="B5:G5"/>
    <mergeCell ref="C6:G6"/>
    <mergeCell ref="C7:C8"/>
    <mergeCell ref="D7:G7"/>
    <mergeCell ref="D8:G8"/>
    <mergeCell ref="C12:G12"/>
    <mergeCell ref="C13:C14"/>
    <mergeCell ref="D13:G13"/>
    <mergeCell ref="C9:G9"/>
    <mergeCell ref="C10:C11"/>
    <mergeCell ref="D10:G10"/>
    <mergeCell ref="D11:G11"/>
    <mergeCell ref="D14:G14"/>
    <mergeCell ref="C23:G23"/>
    <mergeCell ref="C21:G21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7:G17"/>
    <mergeCell ref="C18:G18"/>
    <mergeCell ref="C19:G19"/>
    <mergeCell ref="C20:G20"/>
    <mergeCell ref="C22:G22"/>
  </mergeCells>
  <phoneticPr fontId="2"/>
  <conditionalFormatting sqref="H3:AF29">
    <cfRule type="expression" dxfId="7" priority="1" stopIfTrue="1">
      <formula>H$27="NA"</formula>
    </cfRule>
    <cfRule type="expression" dxfId="6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F32"/>
  <sheetViews>
    <sheetView view="pageBreakPreview" zoomScale="85" zoomScaleNormal="70" workbookViewId="0">
      <pane xSplit="7" ySplit="3" topLeftCell="H5" activePane="bottomRight" state="frozen"/>
      <selection activeCell="A5" sqref="A5"/>
      <selection pane="topRight" activeCell="A5" sqref="A5"/>
      <selection pane="bottomLeft" activeCell="A5" sqref="A5"/>
      <selection pane="bottomRight" activeCell="N27" sqref="N27:N2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61</v>
      </c>
      <c r="B1" s="161" t="s">
        <v>62</v>
      </c>
      <c r="C1" s="162"/>
      <c r="D1" s="162"/>
      <c r="E1" s="163"/>
      <c r="F1" s="161" t="s">
        <v>107</v>
      </c>
      <c r="G1" s="162"/>
      <c r="H1" s="162"/>
      <c r="I1" s="162"/>
      <c r="J1" s="162"/>
      <c r="K1" s="162"/>
      <c r="L1" s="162"/>
      <c r="M1" s="162"/>
      <c r="N1" s="162"/>
      <c r="O1" s="163"/>
      <c r="P1" s="170" t="s">
        <v>63</v>
      </c>
      <c r="Q1" s="171"/>
      <c r="R1" s="171"/>
      <c r="S1" s="172"/>
      <c r="T1" s="161" t="s">
        <v>106</v>
      </c>
      <c r="U1" s="162"/>
      <c r="V1" s="162"/>
      <c r="W1" s="162"/>
      <c r="X1" s="162"/>
      <c r="Y1" s="162"/>
      <c r="Z1" s="163"/>
      <c r="AA1" s="173" t="s">
        <v>64</v>
      </c>
      <c r="AB1" s="173"/>
      <c r="AC1" s="174">
        <v>43703</v>
      </c>
      <c r="AD1" s="174"/>
      <c r="AE1" s="174"/>
      <c r="AF1" s="175"/>
    </row>
    <row r="2" spans="1:32" ht="20.100000000000001" customHeight="1" thickBot="1">
      <c r="A2" s="64" t="s">
        <v>65</v>
      </c>
      <c r="B2" s="164" t="s">
        <v>66</v>
      </c>
      <c r="C2" s="165"/>
      <c r="D2" s="165"/>
      <c r="E2" s="166"/>
      <c r="F2" s="164" t="s">
        <v>67</v>
      </c>
      <c r="G2" s="165"/>
      <c r="H2" s="166"/>
      <c r="I2" s="167" t="s">
        <v>50</v>
      </c>
      <c r="J2" s="168"/>
      <c r="K2" s="168"/>
      <c r="L2" s="168"/>
      <c r="M2" s="168"/>
      <c r="N2" s="168"/>
      <c r="O2" s="169"/>
      <c r="P2" s="164"/>
      <c r="Q2" s="165"/>
      <c r="R2" s="165"/>
      <c r="S2" s="165"/>
      <c r="T2" s="165"/>
      <c r="U2" s="165"/>
      <c r="V2" s="165"/>
      <c r="W2" s="165"/>
      <c r="X2" s="165"/>
      <c r="Y2" s="165"/>
      <c r="Z2" s="166"/>
      <c r="AA2" s="176" t="s">
        <v>76</v>
      </c>
      <c r="AB2" s="177"/>
      <c r="AC2" s="164" t="s">
        <v>68</v>
      </c>
      <c r="AD2" s="165"/>
      <c r="AE2" s="165"/>
      <c r="AF2" s="178"/>
    </row>
    <row r="3" spans="1:32" ht="37.5" customHeight="1" thickBot="1">
      <c r="A3" s="66" t="s">
        <v>77</v>
      </c>
      <c r="B3" s="10"/>
      <c r="C3" s="10"/>
      <c r="D3" s="10"/>
      <c r="E3" s="10"/>
      <c r="F3" s="10"/>
      <c r="G3" s="65" t="s">
        <v>78</v>
      </c>
      <c r="H3" s="11">
        <f>IF(COUNTA(H4:H26)&gt;0,1,"")</f>
        <v>1</v>
      </c>
      <c r="I3" s="12">
        <f t="shared" ref="I3:AF3" si="0">IF(COUNTA(I4:I26)&gt;0,IF(H3&gt;0,H3+1,""),"")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53" t="s">
        <v>79</v>
      </c>
      <c r="B4" s="151" t="s">
        <v>80</v>
      </c>
      <c r="C4" s="151"/>
      <c r="D4" s="151"/>
      <c r="E4" s="151"/>
      <c r="F4" s="151"/>
      <c r="G4" s="207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4"/>
      <c r="B5" s="155" t="s">
        <v>50</v>
      </c>
      <c r="C5" s="156"/>
      <c r="D5" s="156"/>
      <c r="E5" s="156"/>
      <c r="F5" s="156"/>
      <c r="G5" s="208"/>
      <c r="H5" s="23" t="s">
        <v>53</v>
      </c>
      <c r="I5" s="23" t="s">
        <v>53</v>
      </c>
      <c r="J5" s="23" t="s">
        <v>53</v>
      </c>
      <c r="K5" s="23" t="s">
        <v>53</v>
      </c>
      <c r="L5" s="23" t="s">
        <v>53</v>
      </c>
      <c r="M5" s="23" t="s">
        <v>53</v>
      </c>
      <c r="N5" s="23" t="s">
        <v>53</v>
      </c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20"/>
    </row>
    <row r="6" spans="1:32" s="17" customFormat="1" ht="13.5" customHeight="1">
      <c r="A6" s="154"/>
      <c r="B6" s="159"/>
      <c r="C6" s="155" t="s">
        <v>72</v>
      </c>
      <c r="D6" s="158"/>
      <c r="E6" s="158"/>
      <c r="F6" s="158"/>
      <c r="G6" s="188"/>
      <c r="H6" s="22" t="s">
        <v>53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4"/>
      <c r="B7" s="159"/>
      <c r="C7" s="155" t="s">
        <v>81</v>
      </c>
      <c r="D7" s="158"/>
      <c r="E7" s="158"/>
      <c r="F7" s="158"/>
      <c r="G7" s="188"/>
      <c r="H7" s="22"/>
      <c r="I7" s="23" t="s">
        <v>53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4"/>
      <c r="B8" s="159"/>
      <c r="C8" s="155" t="s">
        <v>51</v>
      </c>
      <c r="D8" s="158"/>
      <c r="E8" s="158"/>
      <c r="F8" s="158"/>
      <c r="G8" s="188"/>
      <c r="H8" s="22"/>
      <c r="I8" s="23"/>
      <c r="J8" s="23" t="s">
        <v>53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4"/>
      <c r="B9" s="159"/>
      <c r="C9" s="189" t="s">
        <v>82</v>
      </c>
      <c r="D9" s="189"/>
      <c r="E9" s="189"/>
      <c r="F9" s="189"/>
      <c r="G9" s="190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54"/>
      <c r="B10" s="159"/>
      <c r="C10" s="185"/>
      <c r="D10" s="189" t="s">
        <v>70</v>
      </c>
      <c r="E10" s="189"/>
      <c r="F10" s="189"/>
      <c r="G10" s="190"/>
      <c r="H10" s="22"/>
      <c r="I10" s="23"/>
      <c r="J10" s="23"/>
      <c r="K10" s="23" t="s">
        <v>53</v>
      </c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54"/>
      <c r="B11" s="159"/>
      <c r="C11" s="186"/>
      <c r="D11" s="155" t="s">
        <v>73</v>
      </c>
      <c r="E11" s="158"/>
      <c r="F11" s="158"/>
      <c r="G11" s="188"/>
      <c r="H11" s="22"/>
      <c r="I11" s="23"/>
      <c r="J11" s="23"/>
      <c r="K11" s="23"/>
      <c r="L11" s="23" t="s">
        <v>53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54"/>
      <c r="B12" s="159"/>
      <c r="C12" s="187"/>
      <c r="D12" s="155" t="s">
        <v>71</v>
      </c>
      <c r="E12" s="158"/>
      <c r="F12" s="158"/>
      <c r="G12" s="188"/>
      <c r="H12" s="22"/>
      <c r="I12" s="23"/>
      <c r="J12" s="23"/>
      <c r="K12" s="23"/>
      <c r="L12" s="23"/>
      <c r="M12" s="23" t="s">
        <v>53</v>
      </c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 thickBot="1">
      <c r="A13" s="154"/>
      <c r="B13" s="159"/>
      <c r="C13" s="189" t="s">
        <v>83</v>
      </c>
      <c r="D13" s="189"/>
      <c r="E13" s="189"/>
      <c r="F13" s="189"/>
      <c r="G13" s="190"/>
      <c r="H13" s="22"/>
      <c r="I13" s="23"/>
      <c r="J13" s="23"/>
      <c r="K13" s="23"/>
      <c r="L13" s="23"/>
      <c r="M13" s="23"/>
      <c r="N13" s="23" t="s">
        <v>53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47" t="s">
        <v>84</v>
      </c>
      <c r="B14" s="204" t="s">
        <v>85</v>
      </c>
      <c r="C14" s="205"/>
      <c r="D14" s="205"/>
      <c r="E14" s="205"/>
      <c r="F14" s="205"/>
      <c r="G14" s="206"/>
      <c r="H14" s="25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7"/>
    </row>
    <row r="15" spans="1:32" s="17" customFormat="1" ht="13.5" customHeight="1">
      <c r="A15" s="148"/>
      <c r="B15" s="191"/>
      <c r="C15" s="155" t="s">
        <v>102</v>
      </c>
      <c r="D15" s="158"/>
      <c r="E15" s="158"/>
      <c r="F15" s="158"/>
      <c r="G15" s="188"/>
      <c r="H15" s="76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8"/>
    </row>
    <row r="16" spans="1:32" s="17" customFormat="1" ht="13.5" customHeight="1">
      <c r="A16" s="148"/>
      <c r="B16" s="192"/>
      <c r="C16" s="195"/>
      <c r="D16" s="158" t="s">
        <v>101</v>
      </c>
      <c r="E16" s="158"/>
      <c r="F16" s="158"/>
      <c r="G16" s="188"/>
      <c r="H16" s="76" t="s">
        <v>53</v>
      </c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8"/>
    </row>
    <row r="17" spans="1:32" s="17" customFormat="1" ht="13.5" customHeight="1">
      <c r="A17" s="148"/>
      <c r="B17" s="192"/>
      <c r="C17" s="159"/>
      <c r="D17" s="138" t="s">
        <v>86</v>
      </c>
      <c r="E17" s="138"/>
      <c r="F17" s="138"/>
      <c r="G17" s="194"/>
      <c r="H17" s="22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48"/>
      <c r="B18" s="192"/>
      <c r="C18" s="159"/>
      <c r="D18" s="79"/>
      <c r="E18" s="138" t="s">
        <v>87</v>
      </c>
      <c r="F18" s="138"/>
      <c r="G18" s="194"/>
      <c r="H18" s="23" t="s">
        <v>53</v>
      </c>
      <c r="I18" s="23" t="s">
        <v>53</v>
      </c>
      <c r="J18" s="23" t="s">
        <v>53</v>
      </c>
      <c r="K18" s="23" t="s">
        <v>53</v>
      </c>
      <c r="L18" s="23" t="s">
        <v>53</v>
      </c>
      <c r="M18" s="23" t="s">
        <v>53</v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48"/>
      <c r="B19" s="192"/>
      <c r="C19" s="159"/>
      <c r="D19" s="137" t="s">
        <v>54</v>
      </c>
      <c r="E19" s="138"/>
      <c r="F19" s="138"/>
      <c r="G19" s="194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48"/>
      <c r="B20" s="192"/>
      <c r="C20" s="196"/>
      <c r="D20" s="79"/>
      <c r="E20" s="138" t="s">
        <v>87</v>
      </c>
      <c r="F20" s="138"/>
      <c r="G20" s="194"/>
      <c r="H20" s="22"/>
      <c r="I20" s="23"/>
      <c r="J20" s="23"/>
      <c r="K20" s="23" t="s">
        <v>53</v>
      </c>
      <c r="L20" s="23" t="s">
        <v>53</v>
      </c>
      <c r="M20" s="23" t="s">
        <v>53</v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48"/>
      <c r="B21" s="192"/>
      <c r="C21" s="137" t="s">
        <v>81</v>
      </c>
      <c r="D21" s="138"/>
      <c r="E21" s="138"/>
      <c r="F21" s="138"/>
      <c r="G21" s="194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48"/>
      <c r="B22" s="192"/>
      <c r="C22" s="71"/>
      <c r="D22" s="138" t="s">
        <v>52</v>
      </c>
      <c r="E22" s="138"/>
      <c r="F22" s="138"/>
      <c r="G22" s="194"/>
      <c r="H22" s="22"/>
      <c r="I22" s="23" t="s">
        <v>53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48"/>
      <c r="B23" s="192"/>
      <c r="C23" s="137" t="s">
        <v>51</v>
      </c>
      <c r="D23" s="138"/>
      <c r="E23" s="138"/>
      <c r="F23" s="138"/>
      <c r="G23" s="138"/>
      <c r="H23" s="29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1"/>
    </row>
    <row r="24" spans="1:32" s="17" customFormat="1" ht="13.5" customHeight="1">
      <c r="A24" s="148"/>
      <c r="B24" s="192"/>
      <c r="C24" s="74"/>
      <c r="D24" s="138" t="s">
        <v>74</v>
      </c>
      <c r="E24" s="138"/>
      <c r="F24" s="138"/>
      <c r="G24" s="194"/>
      <c r="H24" s="29"/>
      <c r="I24" s="30"/>
      <c r="J24" s="23" t="s">
        <v>53</v>
      </c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1"/>
    </row>
    <row r="25" spans="1:32" s="17" customFormat="1" ht="15" customHeight="1" thickBot="1">
      <c r="A25" s="149"/>
      <c r="B25" s="193"/>
      <c r="C25" s="137" t="s">
        <v>75</v>
      </c>
      <c r="D25" s="138"/>
      <c r="E25" s="138"/>
      <c r="F25" s="138"/>
      <c r="G25" s="194"/>
      <c r="H25" s="32"/>
      <c r="I25" s="33"/>
      <c r="J25" s="33"/>
      <c r="K25" s="33"/>
      <c r="L25" s="33"/>
      <c r="M25" s="33"/>
      <c r="N25" s="23" t="s">
        <v>53</v>
      </c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4"/>
    </row>
    <row r="26" spans="1:32" s="17" customFormat="1" ht="24" customHeight="1">
      <c r="A26" s="139" t="s">
        <v>88</v>
      </c>
      <c r="B26" s="197"/>
      <c r="C26" s="198"/>
      <c r="D26" s="198"/>
      <c r="E26" s="198"/>
      <c r="F26" s="199"/>
      <c r="G26" s="35" t="s">
        <v>89</v>
      </c>
      <c r="H26" s="36" t="s">
        <v>55</v>
      </c>
      <c r="I26" s="37" t="s">
        <v>55</v>
      </c>
      <c r="J26" s="37" t="s">
        <v>55</v>
      </c>
      <c r="K26" s="37" t="s">
        <v>55</v>
      </c>
      <c r="L26" s="37" t="s">
        <v>55</v>
      </c>
      <c r="M26" s="37" t="s">
        <v>55</v>
      </c>
      <c r="N26" s="37" t="s">
        <v>56</v>
      </c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8"/>
    </row>
    <row r="27" spans="1:32" s="17" customFormat="1" ht="27" customHeight="1">
      <c r="A27" s="140"/>
      <c r="B27" s="144"/>
      <c r="C27" s="145"/>
      <c r="D27" s="145"/>
      <c r="E27" s="145"/>
      <c r="F27" s="146"/>
      <c r="G27" s="39" t="s">
        <v>90</v>
      </c>
      <c r="H27" s="40" t="s">
        <v>108</v>
      </c>
      <c r="I27" s="40" t="s">
        <v>108</v>
      </c>
      <c r="J27" s="40" t="s">
        <v>108</v>
      </c>
      <c r="K27" s="40" t="s">
        <v>108</v>
      </c>
      <c r="L27" s="40" t="s">
        <v>108</v>
      </c>
      <c r="M27" s="40" t="s">
        <v>108</v>
      </c>
      <c r="N27" s="40" t="s">
        <v>108</v>
      </c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42"/>
    </row>
    <row r="28" spans="1:32" s="17" customFormat="1" ht="27" customHeight="1">
      <c r="A28" s="140"/>
      <c r="B28" s="144"/>
      <c r="C28" s="145"/>
      <c r="D28" s="145"/>
      <c r="E28" s="145"/>
      <c r="F28" s="146"/>
      <c r="G28" s="39" t="s">
        <v>91</v>
      </c>
      <c r="H28" s="43">
        <v>43703</v>
      </c>
      <c r="I28" s="43">
        <v>43703</v>
      </c>
      <c r="J28" s="43">
        <v>43703</v>
      </c>
      <c r="K28" s="43">
        <v>43703</v>
      </c>
      <c r="L28" s="43">
        <v>43703</v>
      </c>
      <c r="M28" s="43">
        <v>43703</v>
      </c>
      <c r="N28" s="43">
        <v>43703</v>
      </c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5"/>
    </row>
    <row r="29" spans="1:32" s="17" customFormat="1" ht="24.75" customHeight="1">
      <c r="A29" s="140"/>
      <c r="B29" s="144"/>
      <c r="C29" s="145"/>
      <c r="D29" s="145"/>
      <c r="E29" s="145"/>
      <c r="F29" s="146"/>
      <c r="G29" s="75" t="s">
        <v>92</v>
      </c>
      <c r="H29" s="40" t="s">
        <v>109</v>
      </c>
      <c r="I29" s="40" t="s">
        <v>109</v>
      </c>
      <c r="J29" s="40" t="s">
        <v>109</v>
      </c>
      <c r="K29" s="40" t="s">
        <v>109</v>
      </c>
      <c r="L29" s="40" t="s">
        <v>109</v>
      </c>
      <c r="M29" s="40" t="s">
        <v>109</v>
      </c>
      <c r="N29" s="40" t="s">
        <v>109</v>
      </c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42"/>
    </row>
    <row r="30" spans="1:32" s="17" customFormat="1" ht="24.75" customHeight="1">
      <c r="A30" s="179" t="s">
        <v>93</v>
      </c>
      <c r="B30" s="200" t="s">
        <v>94</v>
      </c>
      <c r="C30" s="201"/>
      <c r="D30" s="201"/>
      <c r="E30" s="202"/>
      <c r="F30" s="182" t="str">
        <f>GetBugSheetName()</f>
        <v>Summary_</v>
      </c>
      <c r="G30" s="183"/>
      <c r="H30" s="60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4"/>
    </row>
    <row r="31" spans="1:32" s="17" customFormat="1" ht="36" customHeight="1" thickBot="1">
      <c r="A31" s="180"/>
      <c r="B31" s="167" t="s">
        <v>95</v>
      </c>
      <c r="C31" s="168"/>
      <c r="D31" s="168"/>
      <c r="E31" s="169"/>
      <c r="F31" s="167"/>
      <c r="G31" s="203"/>
      <c r="H31" s="61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 t="str">
        <f t="shared" ref="S31:AF31" si="1">IF(S30="","",(SUM(LEN(S30)-LEN(SUBSTITUTE(S30,",","")))/LEN(",")) + 1 )</f>
        <v/>
      </c>
      <c r="T31" s="55" t="str">
        <f t="shared" si="1"/>
        <v/>
      </c>
      <c r="U31" s="55" t="str">
        <f t="shared" si="1"/>
        <v/>
      </c>
      <c r="V31" s="55" t="str">
        <f t="shared" si="1"/>
        <v/>
      </c>
      <c r="W31" s="55" t="str">
        <f t="shared" si="1"/>
        <v/>
      </c>
      <c r="X31" s="55" t="str">
        <f t="shared" si="1"/>
        <v/>
      </c>
      <c r="Y31" s="55" t="str">
        <f t="shared" si="1"/>
        <v/>
      </c>
      <c r="Z31" s="55" t="str">
        <f t="shared" si="1"/>
        <v/>
      </c>
      <c r="AA31" s="55" t="str">
        <f t="shared" si="1"/>
        <v/>
      </c>
      <c r="AB31" s="55" t="str">
        <f t="shared" si="1"/>
        <v/>
      </c>
      <c r="AC31" s="55" t="str">
        <f t="shared" si="1"/>
        <v/>
      </c>
      <c r="AD31" s="55" t="str">
        <f t="shared" si="1"/>
        <v/>
      </c>
      <c r="AE31" s="55" t="str">
        <f t="shared" si="1"/>
        <v/>
      </c>
      <c r="AF31" s="56" t="str">
        <f t="shared" si="1"/>
        <v/>
      </c>
    </row>
    <row r="32" spans="1:32" s="17" customFormat="1">
      <c r="H32" s="47"/>
      <c r="I32" s="47"/>
      <c r="J32" s="47"/>
      <c r="K32" s="47"/>
      <c r="L32" s="47"/>
      <c r="M32" s="47"/>
      <c r="N32" s="48"/>
      <c r="O32" s="49"/>
      <c r="P32" s="47"/>
      <c r="Q32" s="47"/>
      <c r="R32" s="47"/>
      <c r="S32" s="47"/>
      <c r="T32" s="47"/>
      <c r="U32" s="47"/>
      <c r="V32" s="47"/>
    </row>
  </sheetData>
  <sheetProtection insertRows="0"/>
  <protectedRanges>
    <protectedRange sqref="B14:G16 B17:B25" name="Range2_1"/>
    <protectedRange sqref="H26:AF30" name="Range3_1_1"/>
    <protectedRange sqref="H4:AF25" name="Range2_1_1"/>
    <protectedRange sqref="B9:B13 C9:G12 B4:G8" name="Range2_1_2"/>
    <protectedRange sqref="G13 C13:E13" name="Range2_1_4_1"/>
    <protectedRange sqref="C17:G18" name="Range2_1_3"/>
    <protectedRange sqref="C21:G22" name="Range2_1_4"/>
    <protectedRange sqref="C23:G24" name="Range2_1_8"/>
    <protectedRange sqref="C25:G25" name="Range2_1_8_1_1"/>
    <protectedRange sqref="C19:G20" name="Range2_1_5"/>
    <protectedRange sqref="B1:O1 P2 T1 B2:E2" name="Range1_1_1"/>
    <protectedRange sqref="P2 AC2:AF2" name="Range1_1_1_1"/>
    <protectedRange sqref="AC1:AF1" name="Range1_1_1_2"/>
  </protectedRanges>
  <mergeCells count="50">
    <mergeCell ref="A14:A25"/>
    <mergeCell ref="B14:G14"/>
    <mergeCell ref="B6:B13"/>
    <mergeCell ref="C7:G7"/>
    <mergeCell ref="C8:G8"/>
    <mergeCell ref="C9:G9"/>
    <mergeCell ref="C21:G21"/>
    <mergeCell ref="C23:G23"/>
    <mergeCell ref="C25:G25"/>
    <mergeCell ref="A4:A13"/>
    <mergeCell ref="D22:G22"/>
    <mergeCell ref="D24:G24"/>
    <mergeCell ref="B4:G4"/>
    <mergeCell ref="B5:G5"/>
    <mergeCell ref="C6:G6"/>
    <mergeCell ref="C15:G15"/>
    <mergeCell ref="P2:Z2"/>
    <mergeCell ref="AA2:AB2"/>
    <mergeCell ref="AA1:AB1"/>
    <mergeCell ref="AC1:AF1"/>
    <mergeCell ref="AC2:AF2"/>
    <mergeCell ref="P1:S1"/>
    <mergeCell ref="T1:Z1"/>
    <mergeCell ref="B1:E1"/>
    <mergeCell ref="F1:O1"/>
    <mergeCell ref="B2:E2"/>
    <mergeCell ref="I2:O2"/>
    <mergeCell ref="F2:H2"/>
    <mergeCell ref="A26:A29"/>
    <mergeCell ref="B26:F26"/>
    <mergeCell ref="B27:F27"/>
    <mergeCell ref="B28:F28"/>
    <mergeCell ref="A30:A31"/>
    <mergeCell ref="B30:E30"/>
    <mergeCell ref="F30:G30"/>
    <mergeCell ref="B31:E31"/>
    <mergeCell ref="F31:G31"/>
    <mergeCell ref="B29:F29"/>
    <mergeCell ref="B15:B25"/>
    <mergeCell ref="D16:G16"/>
    <mergeCell ref="D17:G17"/>
    <mergeCell ref="E18:G18"/>
    <mergeCell ref="C16:C20"/>
    <mergeCell ref="D19:G19"/>
    <mergeCell ref="E20:G20"/>
    <mergeCell ref="C10:C12"/>
    <mergeCell ref="D11:G11"/>
    <mergeCell ref="D12:G12"/>
    <mergeCell ref="D10:G10"/>
    <mergeCell ref="C13:G13"/>
  </mergeCells>
  <phoneticPr fontId="2"/>
  <conditionalFormatting sqref="H3:AF31">
    <cfRule type="expression" dxfId="5" priority="13" stopIfTrue="1">
      <formula>H$29="NA"</formula>
    </cfRule>
    <cfRule type="expression" dxfId="4" priority="14" stopIfTrue="1">
      <formula>H$29="NG"</formula>
    </cfRule>
  </conditionalFormatting>
  <dataValidations count="10">
    <dataValidation type="list" allowBlank="1" showInputMessage="1" showErrorMessage="1" sqref="H26:AF26">
      <formula1>"N, A, B"</formula1>
    </dataValidation>
    <dataValidation type="list" allowBlank="1" showInputMessage="1" showErrorMessage="1" sqref="H29:AF29">
      <formula1>"OK, NG, NA, PT"</formula1>
    </dataValidation>
    <dataValidation allowBlank="1" showInputMessage="1" showErrorMessage="1" promptTitle="PCL sheet name" prompt=" " sqref="F30:G30"/>
    <dataValidation allowBlank="1" showInputMessage="1" showErrorMessage="1" promptTitle="Bug ID" prompt="Unique ID throughout the project._x000a_For every Bug found during Test as well as Re-Test, a new Bug ID needs to be entered here (as a comma seperated value)" sqref="B30:E30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9"/>
    <dataValidation allowBlank="1" showInputMessage="1" showErrorMessage="1" promptTitle="Testing Date" prompt="Date on which test was performed in yyyy/mm/dd format" sqref="G28"/>
    <dataValidation allowBlank="1" showInputMessage="1" showErrorMessage="1" promptTitle="Enter" prompt="Name of the person who performed the test" sqref="G27"/>
    <dataValidation allowBlank="1" showInputMessage="1" showErrorMessage="1" promptTitle="Condition Type" prompt="N : Normal _x000a_A : Abnormal _x000a_B : Boundary" sqref="G26"/>
    <dataValidation allowBlank="1" showInputMessage="1" showErrorMessage="1" promptTitle="Check points" prompt="that need / need not be executed" sqref="A14:A25"/>
    <dataValidation allowBlank="1" showInputMessage="1" showErrorMessage="1" promptTitle="Input conditions" prompt="that need to be checked." sqref="A4:A13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25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F2" sqref="F2:H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61</v>
      </c>
      <c r="B1" s="161" t="s">
        <v>62</v>
      </c>
      <c r="C1" s="162"/>
      <c r="D1" s="162"/>
      <c r="E1" s="163"/>
      <c r="F1" s="161" t="s">
        <v>107</v>
      </c>
      <c r="G1" s="162"/>
      <c r="H1" s="162"/>
      <c r="I1" s="162"/>
      <c r="J1" s="162"/>
      <c r="K1" s="162"/>
      <c r="L1" s="162"/>
      <c r="M1" s="162"/>
      <c r="N1" s="162"/>
      <c r="O1" s="163"/>
      <c r="P1" s="170" t="s">
        <v>63</v>
      </c>
      <c r="Q1" s="171"/>
      <c r="R1" s="171"/>
      <c r="S1" s="172"/>
      <c r="T1" s="161" t="s">
        <v>106</v>
      </c>
      <c r="U1" s="162"/>
      <c r="V1" s="162"/>
      <c r="W1" s="162"/>
      <c r="X1" s="162"/>
      <c r="Y1" s="162"/>
      <c r="Z1" s="163"/>
      <c r="AA1" s="173" t="s">
        <v>64</v>
      </c>
      <c r="AB1" s="173"/>
      <c r="AC1" s="174">
        <v>43703</v>
      </c>
      <c r="AD1" s="174"/>
      <c r="AE1" s="174"/>
      <c r="AF1" s="175"/>
    </row>
    <row r="2" spans="1:32" ht="20.100000000000001" customHeight="1" thickBot="1">
      <c r="A2" s="64" t="s">
        <v>65</v>
      </c>
      <c r="B2" s="164" t="s">
        <v>66</v>
      </c>
      <c r="C2" s="165"/>
      <c r="D2" s="165"/>
      <c r="E2" s="166"/>
      <c r="F2" s="164" t="s">
        <v>67</v>
      </c>
      <c r="G2" s="165"/>
      <c r="H2" s="166"/>
      <c r="I2" s="167" t="s">
        <v>49</v>
      </c>
      <c r="J2" s="168"/>
      <c r="K2" s="168"/>
      <c r="L2" s="168"/>
      <c r="M2" s="168"/>
      <c r="N2" s="168"/>
      <c r="O2" s="169"/>
      <c r="P2" s="164"/>
      <c r="Q2" s="165"/>
      <c r="R2" s="165"/>
      <c r="S2" s="165"/>
      <c r="T2" s="165"/>
      <c r="U2" s="165"/>
      <c r="V2" s="165"/>
      <c r="W2" s="165"/>
      <c r="X2" s="165"/>
      <c r="Y2" s="165"/>
      <c r="Z2" s="166"/>
      <c r="AA2" s="176" t="s">
        <v>76</v>
      </c>
      <c r="AB2" s="177"/>
      <c r="AC2" s="164" t="s">
        <v>69</v>
      </c>
      <c r="AD2" s="165"/>
      <c r="AE2" s="165"/>
      <c r="AF2" s="178"/>
    </row>
    <row r="3" spans="1:32" ht="37.5" customHeight="1" thickBot="1">
      <c r="A3" s="66" t="s">
        <v>77</v>
      </c>
      <c r="B3" s="10"/>
      <c r="C3" s="10"/>
      <c r="D3" s="10"/>
      <c r="E3" s="10"/>
      <c r="F3" s="10"/>
      <c r="G3" s="65" t="s">
        <v>78</v>
      </c>
      <c r="H3" s="11">
        <f>IF(COUNTA(H4:H19)&gt;0,1,"")</f>
        <v>1</v>
      </c>
      <c r="I3" s="12">
        <f t="shared" ref="I3:AF3" si="0">IF(COUNTA(I4:I19)&gt;0,IF(H3&gt;0,H3+1,""),"")</f>
        <v>2</v>
      </c>
      <c r="J3" s="12">
        <f t="shared" si="0"/>
        <v>3</v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53" t="s">
        <v>79</v>
      </c>
      <c r="B4" s="209" t="s">
        <v>96</v>
      </c>
      <c r="C4" s="209"/>
      <c r="D4" s="209"/>
      <c r="E4" s="209"/>
      <c r="F4" s="209"/>
      <c r="G4" s="21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4"/>
      <c r="B5" s="189" t="s">
        <v>49</v>
      </c>
      <c r="C5" s="211"/>
      <c r="D5" s="211"/>
      <c r="E5" s="211"/>
      <c r="F5" s="211"/>
      <c r="G5" s="212"/>
      <c r="H5" s="18" t="s">
        <v>53</v>
      </c>
      <c r="I5" s="73" t="s">
        <v>53</v>
      </c>
      <c r="J5" s="73" t="s">
        <v>53</v>
      </c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20"/>
    </row>
    <row r="6" spans="1:32" s="17" customFormat="1" ht="13.5" customHeight="1">
      <c r="A6" s="154"/>
      <c r="B6" s="216"/>
      <c r="C6" s="189" t="s">
        <v>73</v>
      </c>
      <c r="D6" s="189"/>
      <c r="E6" s="189"/>
      <c r="F6" s="189"/>
      <c r="G6" s="190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4"/>
      <c r="B7" s="216"/>
      <c r="C7" s="185"/>
      <c r="D7" s="213" t="s">
        <v>57</v>
      </c>
      <c r="E7" s="214"/>
      <c r="F7" s="214"/>
      <c r="G7" s="215"/>
      <c r="H7" s="22" t="s">
        <v>53</v>
      </c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4"/>
      <c r="B8" s="216"/>
      <c r="C8" s="187"/>
      <c r="D8" s="158" t="s">
        <v>98</v>
      </c>
      <c r="E8" s="158"/>
      <c r="F8" s="158"/>
      <c r="G8" s="188"/>
      <c r="H8" s="22"/>
      <c r="I8" s="23" t="s">
        <v>53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4"/>
      <c r="B9" s="216"/>
      <c r="C9" s="155" t="s">
        <v>60</v>
      </c>
      <c r="D9" s="158"/>
      <c r="E9" s="158"/>
      <c r="F9" s="158"/>
      <c r="G9" s="188"/>
      <c r="H9" s="22" t="s">
        <v>53</v>
      </c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 thickBot="1">
      <c r="A10" s="154"/>
      <c r="B10" s="216"/>
      <c r="C10" s="155" t="s">
        <v>83</v>
      </c>
      <c r="D10" s="158"/>
      <c r="E10" s="158"/>
      <c r="F10" s="158"/>
      <c r="G10" s="188"/>
      <c r="H10" s="22"/>
      <c r="I10" s="23"/>
      <c r="J10" s="23" t="s">
        <v>53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47" t="s">
        <v>84</v>
      </c>
      <c r="B11" s="150" t="s">
        <v>85</v>
      </c>
      <c r="C11" s="151"/>
      <c r="D11" s="151"/>
      <c r="E11" s="151"/>
      <c r="F11" s="151"/>
      <c r="G11" s="151"/>
      <c r="H11" s="25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7"/>
    </row>
    <row r="12" spans="1:32" s="17" customFormat="1" ht="13.5" customHeight="1">
      <c r="A12" s="148"/>
      <c r="B12" s="195"/>
      <c r="C12" s="217" t="s">
        <v>99</v>
      </c>
      <c r="D12" s="217"/>
      <c r="E12" s="217"/>
      <c r="F12" s="217"/>
      <c r="G12" s="218"/>
      <c r="H12" s="76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8"/>
    </row>
    <row r="13" spans="1:32" s="17" customFormat="1" ht="13.5" customHeight="1">
      <c r="A13" s="148"/>
      <c r="B13" s="159"/>
      <c r="C13" s="74"/>
      <c r="D13" s="137" t="s">
        <v>100</v>
      </c>
      <c r="E13" s="138"/>
      <c r="F13" s="138"/>
      <c r="G13" s="194"/>
      <c r="H13" s="76"/>
      <c r="I13" s="77" t="s">
        <v>53</v>
      </c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8"/>
    </row>
    <row r="14" spans="1:32" s="17" customFormat="1" ht="13.5" customHeight="1">
      <c r="A14" s="148"/>
      <c r="B14" s="159"/>
      <c r="C14" s="217" t="s">
        <v>58</v>
      </c>
      <c r="D14" s="217"/>
      <c r="E14" s="217"/>
      <c r="F14" s="217"/>
      <c r="G14" s="218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48"/>
      <c r="B15" s="159"/>
      <c r="C15" s="74"/>
      <c r="D15" s="137" t="s">
        <v>59</v>
      </c>
      <c r="E15" s="138"/>
      <c r="F15" s="138"/>
      <c r="G15" s="194"/>
      <c r="H15" s="22" t="s">
        <v>53</v>
      </c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48"/>
      <c r="B16" s="159"/>
      <c r="C16" s="217" t="s">
        <v>103</v>
      </c>
      <c r="D16" s="217"/>
      <c r="E16" s="217"/>
      <c r="F16" s="217"/>
      <c r="G16" s="218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48"/>
      <c r="B17" s="159"/>
      <c r="C17" s="71"/>
      <c r="D17" s="137" t="s">
        <v>104</v>
      </c>
      <c r="E17" s="138"/>
      <c r="F17" s="138"/>
      <c r="G17" s="194"/>
      <c r="H17" s="22" t="s">
        <v>53</v>
      </c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 thickBot="1">
      <c r="A18" s="148"/>
      <c r="B18" s="219"/>
      <c r="C18" s="137" t="s">
        <v>97</v>
      </c>
      <c r="D18" s="138"/>
      <c r="E18" s="138"/>
      <c r="F18" s="138"/>
      <c r="G18" s="194"/>
      <c r="H18" s="22"/>
      <c r="I18" s="23"/>
      <c r="J18" s="23" t="s">
        <v>53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24" customHeight="1">
      <c r="A19" s="139" t="s">
        <v>88</v>
      </c>
      <c r="B19" s="197"/>
      <c r="C19" s="142"/>
      <c r="D19" s="142"/>
      <c r="E19" s="142"/>
      <c r="F19" s="143"/>
      <c r="G19" s="35" t="s">
        <v>89</v>
      </c>
      <c r="H19" s="36" t="s">
        <v>55</v>
      </c>
      <c r="I19" s="37" t="s">
        <v>55</v>
      </c>
      <c r="J19" s="37" t="s">
        <v>56</v>
      </c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8"/>
    </row>
    <row r="20" spans="1:32" s="17" customFormat="1" ht="27" customHeight="1">
      <c r="A20" s="140"/>
      <c r="B20" s="144"/>
      <c r="C20" s="145"/>
      <c r="D20" s="145"/>
      <c r="E20" s="145"/>
      <c r="F20" s="146"/>
      <c r="G20" s="39" t="s">
        <v>90</v>
      </c>
      <c r="H20" s="40" t="s">
        <v>108</v>
      </c>
      <c r="I20" s="40" t="s">
        <v>108</v>
      </c>
      <c r="J20" s="40" t="s">
        <v>108</v>
      </c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42"/>
    </row>
    <row r="21" spans="1:32" s="17" customFormat="1" ht="27" customHeight="1">
      <c r="A21" s="140"/>
      <c r="B21" s="144"/>
      <c r="C21" s="145"/>
      <c r="D21" s="145"/>
      <c r="E21" s="145"/>
      <c r="F21" s="146"/>
      <c r="G21" s="39" t="s">
        <v>91</v>
      </c>
      <c r="H21" s="43">
        <v>43703</v>
      </c>
      <c r="I21" s="43">
        <v>43703</v>
      </c>
      <c r="J21" s="43">
        <v>43703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5"/>
    </row>
    <row r="22" spans="1:32" s="17" customFormat="1" ht="24.75" customHeight="1">
      <c r="A22" s="140"/>
      <c r="B22" s="144"/>
      <c r="C22" s="145"/>
      <c r="D22" s="145"/>
      <c r="E22" s="145"/>
      <c r="F22" s="146"/>
      <c r="G22" s="75" t="s">
        <v>92</v>
      </c>
      <c r="H22" s="40" t="s">
        <v>109</v>
      </c>
      <c r="I22" s="40" t="s">
        <v>109</v>
      </c>
      <c r="J22" s="40" t="s">
        <v>109</v>
      </c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42"/>
    </row>
    <row r="23" spans="1:32" s="17" customFormat="1" ht="24.75" customHeight="1">
      <c r="A23" s="179" t="s">
        <v>93</v>
      </c>
      <c r="B23" s="200" t="s">
        <v>94</v>
      </c>
      <c r="C23" s="201"/>
      <c r="D23" s="201"/>
      <c r="E23" s="202"/>
      <c r="F23" s="182"/>
      <c r="G23" s="183"/>
      <c r="H23" s="60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4"/>
    </row>
    <row r="24" spans="1:32" s="17" customFormat="1" ht="36" customHeight="1" thickBot="1">
      <c r="A24" s="180"/>
      <c r="B24" s="167" t="s">
        <v>95</v>
      </c>
      <c r="C24" s="168"/>
      <c r="D24" s="168"/>
      <c r="E24" s="169"/>
      <c r="F24" s="167"/>
      <c r="G24" s="184"/>
      <c r="H24" s="61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 t="str">
        <f t="shared" ref="S24:AF24" si="1">IF(S23="","",(SUM(LEN(S23)-LEN(SUBSTITUTE(S23,",","")))/LEN(",")) + 1 )</f>
        <v/>
      </c>
      <c r="T24" s="55" t="str">
        <f t="shared" si="1"/>
        <v/>
      </c>
      <c r="U24" s="55" t="str">
        <f t="shared" si="1"/>
        <v/>
      </c>
      <c r="V24" s="55" t="str">
        <f t="shared" si="1"/>
        <v/>
      </c>
      <c r="W24" s="55" t="str">
        <f t="shared" si="1"/>
        <v/>
      </c>
      <c r="X24" s="55" t="str">
        <f t="shared" si="1"/>
        <v/>
      </c>
      <c r="Y24" s="55" t="str">
        <f t="shared" si="1"/>
        <v/>
      </c>
      <c r="Z24" s="55" t="str">
        <f t="shared" si="1"/>
        <v/>
      </c>
      <c r="AA24" s="55" t="str">
        <f t="shared" si="1"/>
        <v/>
      </c>
      <c r="AB24" s="55" t="str">
        <f t="shared" si="1"/>
        <v/>
      </c>
      <c r="AC24" s="55" t="str">
        <f t="shared" si="1"/>
        <v/>
      </c>
      <c r="AD24" s="55" t="str">
        <f t="shared" si="1"/>
        <v/>
      </c>
      <c r="AE24" s="55" t="str">
        <f t="shared" si="1"/>
        <v/>
      </c>
      <c r="AF24" s="56" t="str">
        <f t="shared" si="1"/>
        <v/>
      </c>
    </row>
    <row r="25" spans="1:32" s="17" customFormat="1">
      <c r="H25" s="47"/>
      <c r="I25" s="47"/>
      <c r="J25" s="47"/>
      <c r="K25" s="47"/>
      <c r="L25" s="47"/>
      <c r="M25" s="47"/>
      <c r="N25" s="48"/>
      <c r="O25" s="49"/>
      <c r="P25" s="47"/>
      <c r="Q25" s="47"/>
      <c r="R25" s="47"/>
      <c r="S25" s="47"/>
      <c r="T25" s="47"/>
      <c r="U25" s="47"/>
      <c r="V25" s="47"/>
    </row>
  </sheetData>
  <sheetProtection insertRows="0"/>
  <protectedRanges>
    <protectedRange sqref="B11:G11 B12:B18" name="Range2_1"/>
    <protectedRange sqref="H19:AF19 H23:AF23 K20:AF22" name="Range3_1_1"/>
    <protectedRange sqref="H4:AF18" name="Range2_1_1"/>
    <protectedRange sqref="G9 C9:E9 B5:G8 B9:B10" name="Range2_1_2"/>
    <protectedRange sqref="B4:G4" name="Range2_1_2_1"/>
    <protectedRange sqref="G10 C10:E10" name="Range2_1_4"/>
    <protectedRange sqref="C14:G14 C15 C12:G12 C13" name="Range2_1_29"/>
    <protectedRange sqref="D13:G13 D15:G15 C16:G17" name="Range2_1_30"/>
    <protectedRange sqref="C18:G18" name="Range2_1_8_1_1"/>
    <protectedRange sqref="B1:O1 P2 T1 B2:E2" name="Range1_1_1"/>
    <protectedRange sqref="P2 AC2:AF2" name="Range1_1_1_1"/>
    <protectedRange sqref="AC1:AF1" name="Range1_1_1_2"/>
    <protectedRange sqref="H20:J22" name="Range3_1_1_1"/>
  </protectedRanges>
  <mergeCells count="42">
    <mergeCell ref="A19:A22"/>
    <mergeCell ref="A23:A24"/>
    <mergeCell ref="B23:E23"/>
    <mergeCell ref="F23:G23"/>
    <mergeCell ref="B24:E24"/>
    <mergeCell ref="F24:G24"/>
    <mergeCell ref="B22:F22"/>
    <mergeCell ref="B21:F21"/>
    <mergeCell ref="B20:F20"/>
    <mergeCell ref="B19:F19"/>
    <mergeCell ref="A11:A18"/>
    <mergeCell ref="B11:G11"/>
    <mergeCell ref="C14:G14"/>
    <mergeCell ref="C16:G16"/>
    <mergeCell ref="D17:G17"/>
    <mergeCell ref="C18:G18"/>
    <mergeCell ref="D15:G15"/>
    <mergeCell ref="C12:G12"/>
    <mergeCell ref="D13:G13"/>
    <mergeCell ref="B12:B18"/>
    <mergeCell ref="A4:A10"/>
    <mergeCell ref="B4:G4"/>
    <mergeCell ref="B5:G5"/>
    <mergeCell ref="C6:G6"/>
    <mergeCell ref="D7:G7"/>
    <mergeCell ref="C10:G10"/>
    <mergeCell ref="B6:B10"/>
    <mergeCell ref="C9:G9"/>
    <mergeCell ref="C7:C8"/>
    <mergeCell ref="D8:G8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conditionalFormatting sqref="H3:AF19 H23:AF24 K20:AF22">
    <cfRule type="expression" dxfId="3" priority="13" stopIfTrue="1">
      <formula>H$22="NA"</formula>
    </cfRule>
    <cfRule type="expression" dxfId="2" priority="14" stopIfTrue="1">
      <formula>H$22="NG"</formula>
    </cfRule>
  </conditionalFormatting>
  <conditionalFormatting sqref="H20:J22">
    <cfRule type="expression" dxfId="1" priority="1" stopIfTrue="1">
      <formula>H$29="NA"</formula>
    </cfRule>
    <cfRule type="expression" dxfId="0" priority="2" stopIfTrue="1">
      <formula>H$29="NG"</formula>
    </cfRule>
  </conditionalFormatting>
  <dataValidations count="10">
    <dataValidation allowBlank="1" showInputMessage="1" showErrorMessage="1" promptTitle="Condition Type" prompt="N : Normal _x000a_A : Abnormal _x000a_B : Boundary" sqref="G19"/>
    <dataValidation allowBlank="1" showInputMessage="1" showErrorMessage="1" promptTitle="Enter" prompt="Name of the person who performed the test" sqref="G20"/>
    <dataValidation allowBlank="1" showInputMessage="1" showErrorMessage="1" promptTitle="Testing Date" prompt="Date on which test was performed in yyyy/mm/dd format" sqref="G21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2"/>
    <dataValidation allowBlank="1" showInputMessage="1" showErrorMessage="1" promptTitle="Bug ID" prompt="Unique ID throughout the project._x000a_For every Bug found during Test as well as Re-Test, a new Bug ID needs to be entered here (as a comma seperated value)" sqref="B23:E23"/>
    <dataValidation allowBlank="1" showInputMessage="1" showErrorMessage="1" promptTitle="PCL sheet name" prompt=" " sqref="F23:G23"/>
    <dataValidation type="list" allowBlank="1" showInputMessage="1" showErrorMessage="1" sqref="H22:AF22">
      <formula1>"OK, NG, NA, PT"</formula1>
    </dataValidation>
    <dataValidation type="list" allowBlank="1" showInputMessage="1" showErrorMessage="1" sqref="H19:AF19">
      <formula1>"N, A, B"</formula1>
    </dataValidation>
    <dataValidation allowBlank="1" showInputMessage="1" showErrorMessage="1" promptTitle="Check points" prompt="that need / need not be executed" sqref="A11:A18"/>
    <dataValidation allowBlank="1" showInputMessage="1" showErrorMessage="1" promptTitle="Input conditions" prompt="that need to be checked." sqref="A4:A10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28</vt:i4>
      </vt:variant>
    </vt:vector>
  </HeadingPairs>
  <TitlesOfParts>
    <vt:vector size="32" baseType="lpstr">
      <vt:lpstr>Summary</vt:lpstr>
      <vt:lpstr>Template</vt:lpstr>
      <vt:lpstr>Page_Load</vt:lpstr>
      <vt:lpstr>Upload_Click</vt:lpstr>
      <vt:lpstr>Page_Load!BugCount</vt:lpstr>
      <vt:lpstr>Upload_Click!BugCount</vt:lpstr>
      <vt:lpstr>BugCount</vt:lpstr>
      <vt:lpstr>Page_Load!BugSheetName</vt:lpstr>
      <vt:lpstr>Upload_Click!BugSheetName</vt:lpstr>
      <vt:lpstr>BugSheetName</vt:lpstr>
      <vt:lpstr>NewPCL</vt:lpstr>
      <vt:lpstr>NewPCL_Row</vt:lpstr>
      <vt:lpstr>Page_Load!Print_Area</vt:lpstr>
      <vt:lpstr>Summary!Print_Area</vt:lpstr>
      <vt:lpstr>Template!Print_Area</vt:lpstr>
      <vt:lpstr>Upload_Click!Print_Area</vt:lpstr>
      <vt:lpstr>Page_Load!Print_Titles</vt:lpstr>
      <vt:lpstr>Summary!Print_Titles</vt:lpstr>
      <vt:lpstr>Template!Print_Titles</vt:lpstr>
      <vt:lpstr>Upload_Click!Print_Titles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Page_Load!TestResult</vt:lpstr>
      <vt:lpstr>Upload_Click!TestResult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Kailas</cp:lastModifiedBy>
  <cp:lastPrinted>2010-03-26T11:46:07Z</cp:lastPrinted>
  <dcterms:created xsi:type="dcterms:W3CDTF">2005-06-14T08:18:38Z</dcterms:created>
  <dcterms:modified xsi:type="dcterms:W3CDTF">2019-08-25T13:48:05Z</dcterms:modified>
</cp:coreProperties>
</file>